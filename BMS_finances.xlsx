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2025-05" sheetId="1" state="visible" r:id="rId1"/>
    <sheet name="Data" sheetId="2" state="hidden" r:id="rId2"/>
  </sheets>
  <definedNames>
    <definedName name="AmountPerCategory">Data!$A$3:$B$8</definedName>
    <definedName name="Categories">Data!$A$3:$A$8</definedName>
    <definedName name="Income">'Budget wheel'!$B$3</definedName>
    <definedName name="Savings">Data!$E$3</definedName>
    <definedName name="_xlnm.Print_Titles" localSheetId="0">'2025-05'!$8:$8</definedName>
  </definedNames>
  <calcPr calcId="191029" fullCalcOnLoad="1"/>
</workbook>
</file>

<file path=xl/styles.xml><?xml version="1.0" encoding="utf-8"?>
<styleSheet xmlns="http://schemas.openxmlformats.org/spreadsheetml/2006/main">
  <numFmts count="1">
    <numFmt numFmtId="164" formatCode="&quot;$&quot;#,##0"/>
  </numFmts>
  <fonts count="16">
    <font>
      <name val="Segoe UI"/>
      <family val="2"/>
      <color rgb="FF404040"/>
      <sz val="12"/>
      <scheme val="minor"/>
    </font>
    <font>
      <name val="Segoe UI"/>
      <family val="2"/>
      <b val="1"/>
      <color theme="3"/>
      <sz val="11"/>
      <scheme val="minor"/>
    </font>
    <font>
      <name val="Segoe UI"/>
      <family val="2"/>
      <color rgb="FF404040"/>
      <sz val="9"/>
      <scheme val="minor"/>
    </font>
    <font>
      <name val="Segoe UI"/>
      <family val="2"/>
      <color theme="6"/>
      <sz val="13"/>
      <scheme val="minor"/>
    </font>
    <font>
      <name val="Century Gothic"/>
      <family val="2"/>
      <color theme="3"/>
      <sz val="30"/>
      <scheme val="major"/>
    </font>
    <font>
      <name val="Segoe UI"/>
      <family val="2"/>
      <color theme="3"/>
      <sz val="10"/>
      <scheme val="minor"/>
    </font>
    <font>
      <name val="Segoe UI"/>
      <family val="2"/>
      <color rgb="FF404040"/>
      <sz val="18"/>
      <scheme val="minor"/>
    </font>
    <font>
      <name val="Century Gothic"/>
      <family val="2"/>
      <color theme="6"/>
      <sz val="14"/>
      <scheme val="major"/>
    </font>
    <font>
      <name val="Segoe UI"/>
      <family val="2"/>
      <color theme="0"/>
      <sz val="12"/>
      <scheme val="minor"/>
    </font>
    <font>
      <name val="Calibri"/>
      <family val="2"/>
      <color theme="0"/>
      <sz val="11"/>
    </font>
    <font>
      <name val="Segoe UI"/>
      <family val="2"/>
      <sz val="12"/>
      <scheme val="minor"/>
    </font>
    <font>
      <name val="Century Gothic"/>
      <family val="2"/>
      <b val="1"/>
      <color theme="6"/>
      <sz val="14"/>
      <scheme val="major"/>
    </font>
    <font>
      <name val="Segoe UI"/>
      <family val="2"/>
      <color theme="9" tint="-0.499984740745262"/>
      <sz val="18"/>
      <scheme val="minor"/>
    </font>
    <font>
      <name val="Segoe UI"/>
      <family val="2"/>
      <color theme="9" tint="-0.499984740745262"/>
      <sz val="12"/>
      <scheme val="minor"/>
    </font>
    <font>
      <name val="Segoe UI"/>
      <family val="2"/>
      <color theme="1" tint="0.1499984740745262"/>
      <sz val="10"/>
      <scheme val="minor"/>
    </font>
    <font>
      <name val="Century Gothic"/>
      <family val="2"/>
      <b val="1"/>
      <color theme="4" tint="-0.249977111117893"/>
      <sz val="30"/>
      <scheme val="major"/>
    </font>
  </fonts>
  <fills count="2">
    <fill>
      <patternFill/>
    </fill>
    <fill>
      <patternFill patternType="gray125"/>
    </fill>
  </fills>
  <borders count="4">
    <border>
      <left/>
      <right/>
      <top/>
      <bottom/>
      <diagonal/>
    </border>
    <border>
      <left style="thin">
        <color auto="1"/>
      </left>
      <right style="thin">
        <color auto="1"/>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5">
    <xf numFmtId="0" fontId="0" fillId="0" borderId="0"/>
    <xf numFmtId="0" fontId="4" fillId="0" borderId="0" applyAlignment="1">
      <alignment horizontal="right" vertical="center" indent="2"/>
    </xf>
    <xf numFmtId="0" fontId="7" fillId="0" borderId="0" applyAlignment="1">
      <alignment horizontal="center"/>
    </xf>
    <xf numFmtId="0" fontId="3" fillId="0" borderId="0" applyAlignment="1">
      <alignment vertical="center"/>
    </xf>
    <xf numFmtId="0" fontId="5" fillId="0" borderId="0"/>
  </cellStyleXfs>
  <cellXfs count="34">
    <xf numFmtId="0" fontId="0" fillId="0" borderId="0" pivotButton="0" quotePrefix="0" xfId="0"/>
    <xf numFmtId="0" fontId="1" fillId="0" borderId="0" pivotButton="0" quotePrefix="0" xfId="0"/>
    <xf numFmtId="164" fontId="0" fillId="0" borderId="0" applyAlignment="1" pivotButton="0" quotePrefix="0" xfId="0">
      <alignment horizontal="left"/>
    </xf>
    <xf numFmtId="9" fontId="0" fillId="0" borderId="0" applyAlignment="1" pivotButton="0" quotePrefix="0" xfId="0">
      <alignment horizontal="left"/>
    </xf>
    <xf numFmtId="0" fontId="0" fillId="0" borderId="1" pivotButton="0" quotePrefix="0" xfId="0"/>
    <xf numFmtId="164" fontId="6" fillId="0" borderId="0" applyAlignment="1" pivotButton="0" quotePrefix="0" xfId="0">
      <alignment horizontal="center"/>
    </xf>
    <xf numFmtId="9" fontId="0" fillId="0" borderId="0" pivotButton="0" quotePrefix="0" xfId="0"/>
    <xf numFmtId="0" fontId="0" fillId="0" borderId="2" pivotButton="0" quotePrefix="0" xfId="0"/>
    <xf numFmtId="9" fontId="0" fillId="0" borderId="3" applyAlignment="1" pivotButton="0" quotePrefix="0" xfId="0">
      <alignment horizontal="left"/>
    </xf>
    <xf numFmtId="0" fontId="8" fillId="0" borderId="0" applyAlignment="1" pivotButton="0" quotePrefix="0" xfId="0">
      <alignment wrapText="1"/>
    </xf>
    <xf numFmtId="0" fontId="9" fillId="0" borderId="0" applyAlignment="1" pivotButton="0" quotePrefix="0" xfId="0">
      <alignment vertical="center" wrapText="1"/>
    </xf>
    <xf numFmtId="0" fontId="8" fillId="0" borderId="0" applyAlignment="1" pivotButton="0" quotePrefix="0" xfId="0">
      <alignment horizontal="center"/>
    </xf>
    <xf numFmtId="0" fontId="10" fillId="0" borderId="0" applyAlignment="1" pivotButton="0" quotePrefix="0" xfId="0">
      <alignment wrapText="1"/>
    </xf>
    <xf numFmtId="164" fontId="6" fillId="0" borderId="0" applyAlignment="1" pivotButton="0" quotePrefix="0" xfId="0">
      <alignment horizontal="left" indent="3"/>
    </xf>
    <xf numFmtId="0" fontId="2" fillId="0" borderId="0" applyAlignment="1" pivotButton="0" quotePrefix="0" xfId="0">
      <alignment horizontal="center" vertical="center" wrapText="1"/>
    </xf>
    <xf numFmtId="0" fontId="8" fillId="0" borderId="0" applyAlignment="1" pivotButton="0" quotePrefix="0" xfId="0">
      <alignment horizontal="left" indent="1"/>
    </xf>
    <xf numFmtId="0" fontId="11" fillId="0" borderId="0" applyAlignment="1" pivotButton="0" quotePrefix="0" xfId="2">
      <alignment horizontal="left" wrapText="1" indent="1"/>
    </xf>
    <xf numFmtId="0" fontId="11" fillId="0" borderId="0" applyAlignment="1" pivotButton="0" quotePrefix="0" xfId="2">
      <alignment horizontal="right" wrapText="1"/>
    </xf>
    <xf numFmtId="0" fontId="13" fillId="0" borderId="0" pivotButton="0" quotePrefix="0" xfId="0"/>
    <xf numFmtId="164" fontId="12" fillId="0" borderId="0" applyAlignment="1" pivotButton="0" quotePrefix="0" xfId="0">
      <alignment horizontal="left" indent="1"/>
    </xf>
    <xf numFmtId="0" fontId="13" fillId="0" borderId="0" applyAlignment="1" pivotButton="0" quotePrefix="0" xfId="0">
      <alignment horizontal="left" indent="1"/>
    </xf>
    <xf numFmtId="0" fontId="13" fillId="0" borderId="0" applyAlignment="1" pivotButton="0" quotePrefix="0" xfId="0">
      <alignment horizontal="center"/>
    </xf>
    <xf numFmtId="164" fontId="12" fillId="0" borderId="0" applyAlignment="1" pivotButton="0" quotePrefix="0" xfId="0">
      <alignment horizontal="right"/>
    </xf>
    <xf numFmtId="0" fontId="14" fillId="0" borderId="0" applyAlignment="1" pivotButton="0" quotePrefix="0" xfId="0">
      <alignment horizontal="right" vertical="center" wrapText="1"/>
    </xf>
    <xf numFmtId="0" fontId="14" fillId="0" borderId="0" applyAlignment="1" pivotButton="0" quotePrefix="0" xfId="0">
      <alignment horizontal="left" vertical="center" indent="1"/>
    </xf>
    <xf numFmtId="0" fontId="7" fillId="0" borderId="0" applyAlignment="1" pivotButton="0" quotePrefix="0" xfId="3">
      <alignment horizontal="left" vertical="center" indent="1"/>
    </xf>
    <xf numFmtId="164" fontId="14" fillId="0" borderId="0" applyAlignment="1" pivotButton="0" quotePrefix="0" xfId="0">
      <alignment horizontal="left" vertical="center" indent="1"/>
    </xf>
    <xf numFmtId="9" fontId="14" fillId="0" borderId="0" applyAlignment="1" pivotButton="0" quotePrefix="0" xfId="0">
      <alignment horizontal="left" vertical="center" indent="1"/>
    </xf>
    <xf numFmtId="0" fontId="15" fillId="0" borderId="0" applyAlignment="1" pivotButton="0" quotePrefix="0" xfId="1">
      <alignment horizontal="left" indent="1"/>
    </xf>
    <xf numFmtId="0" fontId="5" fillId="0" borderId="0" applyAlignment="1" pivotButton="0" quotePrefix="0" xfId="4">
      <alignment horizontal="left" vertical="center" wrapText="1" indent="2"/>
    </xf>
    <xf numFmtId="0" fontId="5" fillId="0" borderId="0" applyAlignment="1" pivotButton="0" quotePrefix="0" xfId="4">
      <alignment horizontal="left" vertical="center" wrapText="1" indent="2"/>
    </xf>
    <xf numFmtId="0" fontId="14" fillId="0" borderId="0" applyAlignment="1" pivotButton="0" quotePrefix="0" xfId="0">
      <alignment horizontal="left" vertical="center" indent="1"/>
    </xf>
    <xf numFmtId="164" fontId="14" fillId="0" borderId="0" applyAlignment="1" pivotButton="0" quotePrefix="0" xfId="0">
      <alignment horizontal="left" vertical="center" indent="1"/>
    </xf>
    <xf numFmtId="9" fontId="14" fillId="0" borderId="0" applyAlignment="1" pivotButton="0" quotePrefix="0" xfId="0">
      <alignment horizontal="left" vertical="center" indent="1"/>
    </xf>
  </cellXfs>
  <cellStyles count="5">
    <cellStyle name="Normal" xfId="0" builtinId="0"/>
    <cellStyle name="Title" xfId="1" builtinId="15"/>
    <cellStyle name="Heading 1" xfId="2" builtinId="16"/>
    <cellStyle name="Heading 2" xfId="3" builtinId="17"/>
    <cellStyle name="Explanatory Text" xfId="4" builtinId="53"/>
  </cellStyles>
  <dxfs count="14">
    <dxf>
      <font>
        <color theme="9" tint="-0.499984740745262"/>
      </font>
    </dxf>
    <dxf>
      <font>
        <color rgb="FFFF0000"/>
      </font>
    </dxf>
    <dxf>
      <font>
        <name val="Segoe UI"/>
        <family val="2"/>
        <strike val="0"/>
        <outline val="0"/>
        <shadow val="0"/>
        <color theme="1" tint="0.1499984740745262"/>
        <sz val="10"/>
        <vertAlign val="baseline"/>
        <scheme val="minor"/>
      </font>
      <numFmt numFmtId="13" formatCode="0%"/>
      <fill>
        <patternFill>
          <fgColor indexed="64"/>
          <bgColor auto="1"/>
        </patternFill>
      </fill>
      <alignment horizontal="left" vertical="center" indent="1"/>
    </dxf>
    <dxf>
      <font>
        <name val="Segoe UI"/>
        <family val="2"/>
        <strike val="0"/>
        <outline val="0"/>
        <shadow val="0"/>
        <condense val="0"/>
        <color theme="1" tint="0.1499984740745262"/>
        <extend val="0"/>
        <sz val="10"/>
        <vertAlign val="baseline"/>
        <scheme val="minor"/>
      </font>
      <numFmt numFmtId="164" formatCode="&quot;$&quot;#,##0"/>
      <alignment horizontal="left" vertical="center" indent="1"/>
    </dxf>
    <dxf>
      <font>
        <name val="Segoe UI"/>
        <family val="2"/>
        <strike val="0"/>
        <outline val="0"/>
        <shadow val="0"/>
        <color theme="1" tint="0.1499984740745262"/>
        <sz val="10"/>
        <vertAlign val="baseline"/>
        <scheme val="minor"/>
      </font>
      <numFmt numFmtId="164" formatCode="&quot;$&quot;#,##0"/>
      <fill>
        <patternFill>
          <fgColor indexed="64"/>
          <bgColor auto="1"/>
        </patternFill>
      </fill>
      <alignment horizontal="left" vertical="center" indent="1"/>
    </dxf>
    <dxf>
      <font>
        <name val="Segoe UI"/>
        <family val="2"/>
        <strike val="0"/>
        <outline val="0"/>
        <shadow val="0"/>
        <color theme="1" tint="0.1499984740745262"/>
        <sz val="10"/>
        <vertAlign val="baseline"/>
        <scheme val="minor"/>
      </font>
      <fill>
        <patternFill>
          <fgColor indexed="64"/>
          <bgColor auto="1"/>
        </patternFill>
      </fill>
      <alignment horizontal="left" vertical="center" indent="1"/>
    </dxf>
    <dxf>
      <font>
        <name val="Segoe UI"/>
        <family val="2"/>
        <strike val="0"/>
        <outline val="0"/>
        <shadow val="0"/>
        <color theme="1" tint="0.1499984740745262"/>
        <sz val="10"/>
        <vertAlign val="baseline"/>
        <scheme val="minor"/>
      </font>
      <numFmt numFmtId="164" formatCode="&quot;$&quot;#,##0"/>
      <fill>
        <patternFill>
          <fgColor indexed="64"/>
          <bgColor auto="1"/>
        </patternFill>
      </fill>
      <alignment horizontal="left" vertical="center" indent="1"/>
    </dxf>
    <dxf>
      <font>
        <name val="Segoe UI"/>
        <family val="2"/>
        <strike val="0"/>
        <outline val="0"/>
        <shadow val="0"/>
        <color theme="1" tint="0.1499984740745262"/>
        <sz val="10"/>
        <vertAlign val="baseline"/>
        <scheme val="minor"/>
      </font>
      <fill>
        <patternFill>
          <fgColor indexed="64"/>
          <bgColor auto="1"/>
        </patternFill>
      </fill>
      <alignment horizontal="left" vertical="center" indent="1"/>
    </dxf>
    <dxf>
      <font>
        <name val="Segoe UI"/>
        <family val="2"/>
        <strike val="0"/>
        <outline val="0"/>
        <shadow val="0"/>
        <color theme="1" tint="0.1499984740745262"/>
        <sz val="10"/>
        <vertAlign val="baseline"/>
        <scheme val="minor"/>
      </font>
      <fill>
        <patternFill>
          <fgColor indexed="64"/>
          <bgColor auto="1"/>
        </patternFill>
      </fill>
      <alignment horizontal="left" vertical="center" indent="1"/>
    </dxf>
    <dxf>
      <font>
        <name val="Segoe UI"/>
        <family val="2"/>
        <strike val="0"/>
        <outline val="0"/>
        <shadow val="0"/>
        <color theme="1" tint="0.1499984740745262"/>
        <sz val="10"/>
        <vertAlign val="baseline"/>
        <scheme val="minor"/>
      </font>
      <fill>
        <patternFill>
          <fgColor indexed="64"/>
          <bgColor auto="1"/>
        </patternFill>
      </fill>
      <alignment horizontal="left" vertical="center"/>
    </dxf>
    <dxf>
      <font>
        <name val="Century Gothic"/>
        <family val="2"/>
        <strike val="0"/>
        <outline val="0"/>
        <shadow val="0"/>
        <color theme="6"/>
        <sz val="14"/>
        <vertAlign val="baseline"/>
        <scheme val="major"/>
      </font>
      <fill>
        <patternFill>
          <fgColor indexed="64"/>
          <bgColor auto="1"/>
        </patternFill>
      </fill>
      <alignment horizontal="left" vertical="center" indent="1"/>
    </dxf>
    <dxf>
      <fill>
        <patternFill patternType="solid">
          <fgColor theme="0" tint="-0.0499893185216834"/>
          <bgColor theme="0" tint="-0.0499893185216834"/>
        </patternFill>
      </fill>
    </dxf>
    <dxf>
      <font>
        <b val="1"/>
        <color theme="1"/>
      </font>
      <border>
        <top style="thin">
          <color theme="1"/>
        </top>
      </border>
    </dxf>
    <dxf>
      <font>
        <b val="1"/>
        <color theme="6"/>
      </font>
      <border>
        <left/>
        <right/>
        <top style="thin">
          <color theme="2" tint="-0.09994811853389081"/>
        </top>
        <bottom/>
        <vertical/>
        <horizontal/>
      </border>
    </dxf>
  </dxfs>
  <tableStyles count="1" defaultTableStyle="TableStyleMedium2" defaultPivotStyle="PivotStyleLight16">
    <tableStyle name="Budget Wheel" pivot="0" count="3">
      <tableStyleElement type="headerRow" dxfId="13"/>
      <tableStyleElement type="totalRow" dxfId="12"/>
      <tableStyleElement type="firstRowStripe" dxfId="11"/>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accent1">
                    <a:lumMod val="75000"/>
                  </a:schemeClr>
                </a:solidFill>
                <a:latin typeface="+mn-lt"/>
                <a:ea typeface="+mn-ea"/>
                <a:cs typeface="+mn-cs"/>
              </a:defRPr>
            </a:pPr>
            <a:r>
              <a:rPr lang="en-US" sz="1400" b="0" baseline="0">
                <a:solidFill>
                  <a:schemeClr val="accent1">
                    <a:lumMod val="75000"/>
                  </a:schemeClr>
                </a:solidFill>
                <a:latin typeface="+mj-lt"/>
              </a:rPr>
              <a:t>Monthly expenses</a:t>
            </a:r>
          </a:p>
        </rich>
      </tx>
      <layout>
        <manualLayout>
          <xMode val="edge"/>
          <yMode val="edge"/>
          <wMode val="factor"/>
          <hMode val="factor"/>
          <x val="0.02372831455987596"/>
          <y val="0.0105758387702347"/>
        </manualLayout>
      </layout>
      <overlay val="0"/>
      <spPr>
        <a:noFill/>
        <a:ln>
          <a:noFill/>
          <a:prstDash val="solid"/>
        </a:ln>
      </spPr>
      <txPr>
        <a:bodyPr rot="0" spcFirstLastPara="1" vertOverflow="ellipsis" vert="horz" wrap="square" anchor="ctr" anchorCtr="1"/>
        <a:lstStyle/>
        <a:p>
          <a:pPr>
            <a:defRPr sz="1400" b="0" i="0" strike="noStrike" kern="1200" spc="0" baseline="0">
              <a:solidFill>
                <a:schemeClr val="accent1">
                  <a:lumMod val="75000"/>
                </a:schemeClr>
              </a:solidFill>
              <a:latin typeface="+mn-lt"/>
              <a:ea typeface="+mn-ea"/>
              <a:cs typeface="+mn-cs"/>
            </a:defRPr>
          </a:pPr>
          <a:r>
            <a:t/>
          </a:r>
          <a:endParaRPr lang="en-US"/>
        </a:p>
      </txPr>
    </title>
    <plotArea>
      <layout>
        <manualLayout>
          <layoutTarget val="inner"/>
          <xMode val="edge"/>
          <yMode val="edge"/>
          <wMode val="factor"/>
          <hMode val="factor"/>
          <x val="0.1494526460520068"/>
          <y val="0.02851391651988033"/>
          <w val="0.6906694464610363"/>
          <h val="0.8961753860522036"/>
        </manualLayout>
      </layout>
      <doughnutChart>
        <varyColors val="1"/>
        <ser>
          <idx val="0"/>
          <order val="0"/>
          <spPr>
            <a:solidFill>
              <a:schemeClr val="tx2"/>
            </a:solidFill>
            <a:ln>
              <a:prstDash val="solid"/>
            </a:ln>
          </spPr>
          <dPt>
            <idx val="0"/>
            <bubble3D val="0"/>
            <spPr>
              <a:solidFill>
                <a:schemeClr val="accent1">
                  <a:lumMod val="75000"/>
                </a:schemeClr>
              </a:solidFill>
              <a:ln w="19050">
                <a:solidFill>
                  <a:schemeClr val="lt1"/>
                </a:solidFill>
                <a:prstDash val="solid"/>
              </a:ln>
            </spPr>
          </dPt>
          <dPt>
            <idx val="1"/>
            <bubble3D val="0"/>
            <spPr>
              <a:solidFill>
                <a:schemeClr val="accent3">
                  <a:lumMod val="75000"/>
                </a:schemeClr>
              </a:solidFill>
              <a:ln w="19050">
                <a:solidFill>
                  <a:schemeClr val="lt1"/>
                </a:solidFill>
                <a:prstDash val="solid"/>
              </a:ln>
            </spPr>
          </dPt>
          <dPt>
            <idx val="2"/>
            <bubble3D val="0"/>
            <spPr>
              <a:solidFill>
                <a:schemeClr val="accent3"/>
              </a:solidFill>
              <a:ln w="19050">
                <a:solidFill>
                  <a:schemeClr val="lt1"/>
                </a:solidFill>
                <a:prstDash val="solid"/>
              </a:ln>
            </spPr>
          </dPt>
          <dPt>
            <idx val="3"/>
            <bubble3D val="0"/>
            <spPr>
              <a:solidFill>
                <a:schemeClr val="accent1">
                  <a:lumMod val="60000"/>
                  <a:lumOff val="40000"/>
                </a:schemeClr>
              </a:solidFill>
              <a:ln w="19050">
                <a:solidFill>
                  <a:schemeClr val="lt1"/>
                </a:solidFill>
                <a:prstDash val="solid"/>
              </a:ln>
            </spPr>
          </dPt>
          <dPt>
            <idx val="4"/>
            <bubble3D val="0"/>
            <spPr>
              <a:solidFill>
                <a:schemeClr val="accent1">
                  <a:lumMod val="40000"/>
                  <a:lumOff val="60000"/>
                </a:schemeClr>
              </a:solidFill>
              <a:ln w="19050">
                <a:solidFill>
                  <a:schemeClr val="lt1"/>
                </a:solidFill>
                <a:prstDash val="solid"/>
              </a:ln>
            </spPr>
          </dPt>
          <dPt>
            <idx val="5"/>
            <bubble3D val="0"/>
            <spPr>
              <a:solidFill>
                <a:schemeClr val="accent3">
                  <a:lumMod val="20000"/>
                  <a:lumOff val="80000"/>
                </a:schemeClr>
              </a:solidFill>
              <a:ln w="19050">
                <a:solidFill>
                  <a:schemeClr val="lt1"/>
                </a:solidFill>
                <a:prstDash val="solid"/>
              </a:ln>
            </spPr>
          </dPt>
          <dLbls>
            <dLbl>
              <idx val="0"/>
              <spPr>
                <a:noFill/>
                <a:ln>
                  <a:noFill/>
                  <a:prstDash val="solid"/>
                </a:ln>
              </spPr>
              <txPr>
                <a:bodyPr rot="0" spcFirstLastPara="1" vertOverflow="ellipsis" vert="horz" wrap="square" lIns="38100" tIns="19050" rIns="38100" bIns="19050" anchor="ctr" anchorCtr="1">
                  <a:spAutoFit/>
                </a:bodyPr>
                <a:lstStyle/>
                <a:p>
                  <a:pPr>
                    <a:defRPr sz="1000" b="0" i="0" strike="noStrike" kern="1200" baseline="0">
                      <a:solidFill>
                        <a:schemeClr val="bg1"/>
                      </a:solidFill>
                      <a:latin typeface="+mn-lt"/>
                      <a:ea typeface="+mn-ea"/>
                      <a:cs typeface="+mn-cs"/>
                    </a:defRPr>
                  </a:pPr>
                  <a:r>
                    <a:t/>
                  </a:r>
                  <a:endParaRPr lang="en-US"/>
                </a:p>
              </txPr>
              <showLegendKey val="0"/>
              <showVal val="1"/>
              <showCatName val="1"/>
              <showSerName val="0"/>
              <showPercent val="0"/>
              <showBubbleSize val="0"/>
            </dLbl>
            <dLbl>
              <idx val="1"/>
              <spPr>
                <a:noFill/>
                <a:ln>
                  <a:noFill/>
                  <a:prstDash val="solid"/>
                </a:ln>
              </spPr>
              <txPr>
                <a:bodyPr rot="0" spcFirstLastPara="1" vertOverflow="ellipsis" vert="horz" wrap="square" lIns="38100" tIns="19050" rIns="38100" bIns="19050" anchor="ctr" anchorCtr="1">
                  <a:spAutoFit/>
                </a:bodyPr>
                <a:lstStyle/>
                <a:p>
                  <a:pPr>
                    <a:defRPr sz="1000" b="0" i="0" strike="noStrike" kern="1200" baseline="0">
                      <a:solidFill>
                        <a:schemeClr val="bg1"/>
                      </a:solidFill>
                      <a:latin typeface="+mn-lt"/>
                      <a:ea typeface="+mn-ea"/>
                      <a:cs typeface="+mn-cs"/>
                    </a:defRPr>
                  </a:pPr>
                  <a:r>
                    <a:t/>
                  </a:r>
                  <a:endParaRPr lang="en-US"/>
                </a:p>
              </txPr>
              <showLegendKey val="0"/>
              <showVal val="1"/>
              <showCatName val="1"/>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1000" b="0" i="0" strike="noStrike" kern="1200" baseline="0">
                      <a:solidFill>
                        <a:schemeClr val="bg1"/>
                      </a:solidFill>
                      <a:latin typeface="+mn-lt"/>
                      <a:ea typeface="+mn-ea"/>
                      <a:cs typeface="+mn-cs"/>
                    </a:defRPr>
                  </a:pPr>
                  <a:r>
                    <a:t/>
                  </a:r>
                  <a:endParaRPr lang="en-US"/>
                </a:p>
              </txPr>
              <showLegendKey val="0"/>
              <showVal val="1"/>
              <showCatName val="1"/>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1000" b="0" i="0" strike="noStrike" kern="1200" baseline="0">
                      <a:solidFill>
                        <a:schemeClr val="bg1"/>
                      </a:solidFill>
                      <a:latin typeface="+mn-lt"/>
                      <a:ea typeface="+mn-ea"/>
                      <a:cs typeface="+mn-cs"/>
                    </a:defRPr>
                  </a:pPr>
                  <a:r>
                    <a:t/>
                  </a:r>
                  <a:endParaRPr lang="en-US"/>
                </a:p>
              </txPr>
              <showLegendKey val="0"/>
              <showVal val="1"/>
              <showCatName val="1"/>
              <showSerName val="0"/>
              <showPercent val="0"/>
              <showBubbleSize val="0"/>
            </dLbl>
            <dLbl>
              <idx val="4"/>
              <spPr>
                <a:noFill/>
                <a:ln>
                  <a:noFill/>
                  <a:prstDash val="solid"/>
                </a:ln>
              </spPr>
              <txPr>
                <a:bodyPr rot="0" spcFirstLastPara="1" vertOverflow="ellipsis" vert="horz" wrap="square" lIns="38100" tIns="19050" rIns="38100" bIns="19050" anchor="ctr" anchorCtr="1">
                  <a:spAutoFit/>
                </a:bodyPr>
                <a:lstStyle/>
                <a:p>
                  <a:pPr>
                    <a:defRPr sz="1000" b="0" i="0" strike="noStrike" kern="1200" baseline="0">
                      <a:solidFill>
                        <a:schemeClr val="bg1"/>
                      </a:solidFill>
                      <a:latin typeface="+mn-lt"/>
                      <a:ea typeface="+mn-ea"/>
                      <a:cs typeface="+mn-cs"/>
                    </a:defRPr>
                  </a:pPr>
                  <a:r>
                    <a:t/>
                  </a:r>
                  <a:endParaRPr lang="en-US"/>
                </a:p>
              </txPr>
              <showLegendKey val="0"/>
              <showVal val="1"/>
              <showCatName val="1"/>
              <showSerName val="0"/>
              <showPercent val="0"/>
              <showBubbleSize val="0"/>
            </dLbl>
            <dLbl>
              <idx val="5"/>
              <spPr>
                <a:noFill/>
                <a:ln>
                  <a:noFill/>
                  <a:prstDash val="solid"/>
                </a:ln>
              </spPr>
              <txPr>
                <a:bodyPr rot="0" spcFirstLastPara="1" vertOverflow="ellipsis" vert="horz" wrap="square" lIns="38100" tIns="19050" rIns="38100" bIns="19050" anchor="ctr" anchorCtr="1">
                  <a:spAutoFit/>
                </a:bodyPr>
                <a:lstStyle/>
                <a:p>
                  <a:pPr>
                    <a:defRPr sz="1000" b="0" i="0" strike="noStrike" kern="1200" baseline="0">
                      <a:solidFill>
                        <a:schemeClr val="tx1">
                          <a:lumMod val="85000"/>
                          <a:lumOff val="15000"/>
                        </a:schemeClr>
                      </a:solidFill>
                      <a:latin typeface="+mn-lt"/>
                      <a:ea typeface="+mn-ea"/>
                      <a:cs typeface="+mn-cs"/>
                    </a:defRPr>
                  </a:pPr>
                  <a:r>
                    <a:t/>
                  </a:r>
                  <a:endParaRPr lang="en-US"/>
                </a:p>
              </txPr>
              <showLegendKey val="0"/>
              <showVal val="1"/>
              <showCatName val="1"/>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1000" b="0" i="0" strike="noStrike" kern="1200" baseline="0">
                    <a:solidFill>
                      <a:schemeClr val="tx2"/>
                    </a:solidFill>
                    <a:latin typeface="+mn-lt"/>
                    <a:ea typeface="+mn-ea"/>
                    <a:cs typeface="+mn-cs"/>
                  </a:defRPr>
                </a:pPr>
                <a:r>
                  <a:t/>
                </a:r>
                <a:endParaRPr lang="en-US"/>
              </a:p>
            </txPr>
            <showLegendKey val="0"/>
            <showVal val="1"/>
            <showCatName val="1"/>
            <showSerName val="0"/>
            <showPercent val="0"/>
            <showBubbleSize val="0"/>
            <showLeaderLines val="1"/>
          </dLbls>
          <cat>
            <strRef>
              <f>Data!$A$3:$A$8</f>
              <strCache>
                <ptCount val="6"/>
                <pt idx="0">
                  <v>Home</v>
                </pt>
                <pt idx="1">
                  <v>Entertainment</v>
                </pt>
                <pt idx="2">
                  <v>Transportation</v>
                </pt>
                <pt idx="3">
                  <v>Food</v>
                </pt>
                <pt idx="4">
                  <v>Misc.</v>
                </pt>
                <pt idx="5">
                  <v>Savings</v>
                </pt>
              </strCache>
            </strRef>
          </cat>
          <val>
            <numRef>
              <f>Data!$B$3:$B$8</f>
              <numCache>
                <formatCode>"$"#,##0</formatCode>
                <ptCount val="6"/>
                <pt idx="0">
                  <v>#N/A</v>
                </pt>
                <pt idx="1">
                  <v>#N/A</v>
                </pt>
                <pt idx="2">
                  <v>10</v>
                </pt>
                <pt idx="3">
                  <v>#N/A</v>
                </pt>
                <pt idx="4">
                  <v>#N/A</v>
                </pt>
                <pt idx="5">
                  <v>5728</v>
                </pt>
              </numCache>
            </numRef>
          </val>
        </ser>
        <dLbls>
          <showLegendKey val="0"/>
          <showVal val="0"/>
          <showCatName val="0"/>
          <showSerName val="0"/>
          <showPercent val="0"/>
          <showBubbleSize val="0"/>
          <showLeaderLines val="1"/>
        </dLbls>
        <firstSliceAng val="0"/>
        <holeSize val="25"/>
      </doughnutChart>
    </plotArea>
    <legend>
      <legendPos val="b"/>
      <layout>
        <manualLayout>
          <xMode val="edge"/>
          <yMode val="edge"/>
          <wMode val="factor"/>
          <hMode val="factor"/>
          <x val="0.07713502058867304"/>
          <y val="0.9131783679477352"/>
          <w val="0.8586268289497521"/>
          <h val="0.05506350012700025"/>
        </manualLayout>
      </layout>
      <overlay val="0"/>
      <spPr>
        <a:noFill/>
        <a:ln>
          <a:noFill/>
          <a:prstDash val="solid"/>
        </a:ln>
      </spPr>
      <txPr>
        <a:bodyPr rot="0" spcFirstLastPara="1" vertOverflow="ellipsis" vert="horz" wrap="square" anchor="ctr" anchorCtr="1"/>
        <a:lstStyle/>
        <a:p>
          <a:pPr>
            <a:defRPr sz="1000" b="0" i="0" strike="noStrike" kern="1200" baseline="0">
              <a:solidFill>
                <a:schemeClr val="tx1">
                  <a:lumMod val="75000"/>
                  <a:lumOff val="25000"/>
                </a:schemeClr>
              </a:solidFill>
              <a:latin typeface="+mn-lt"/>
              <a:ea typeface="+mn-ea"/>
              <a:cs typeface="+mn-cs"/>
            </a:defRPr>
          </a:pPr>
          <a:r>
            <a:t/>
          </a:r>
          <a:endParaRPr lang="en-US"/>
        </a:p>
      </txPr>
    </legend>
    <plotVisOnly val="1"/>
    <dispBlanksAs val="gap"/>
  </chart>
  <spPr>
    <a:noFill/>
    <a:l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col>
      <colOff>0</colOff>
      <row>1</row>
      <rowOff>1606</rowOff>
    </from>
    <to>
      <col>7</col>
      <colOff>6351</colOff>
      <row>7</row>
      <rowOff>25400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xpenses" displayName="Expenses" ref="B8:H693" headerRowCount="1" totalsRowShown="0" headerRowDxfId="10" dataDxfId="9" headerRowCellStyle="Heading 2">
  <autoFilter ref="B8:H693"/>
  <tableColumns count="7">
    <tableColumn id="1" name="Expenses" dataDxfId="8"/>
    <tableColumn id="2" name="Category" dataDxfId="7"/>
    <tableColumn id="3" name="Amount" dataDxfId="6"/>
    <tableColumn id="4" name="Frequency" dataDxfId="5"/>
    <tableColumn id="5" name="Monthly Amount" dataDxfId="4">
      <calculatedColumnFormula>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calculatedColumnFormula>
    </tableColumn>
    <tableColumn id="8" name="Date" dataDxfId="3"/>
    <tableColumn id="6" name="% of Total" dataDxfId="2">
      <calculatedColumnFormula>IF(Expenses[[#This Row],[Monthly Amount]]&lt;&gt;"",Expenses[[#This Row],[Monthly Amount]]/Income,"")</calculatedColumnFormula>
    </tableColumn>
  </tableColumns>
  <tableStyleInfo name="Budget Wheel" showFirstColumn="1" showLastColumn="0" showRowStripes="1" showColumnStripes="0"/>
</table>
</file>

<file path=xl/theme/theme1.xml><?xml version="1.0" encoding="utf-8"?>
<a:theme xmlns:a="http://schemas.openxmlformats.org/drawingml/2006/main" name="Office Theme">
  <a:themeElements>
    <a:clrScheme name="Custom 27">
      <a:dk1>
        <a:sysClr val="windowText" lastClr="000000"/>
      </a:dk1>
      <a:lt1>
        <a:sysClr val="window" lastClr="FFFFFF"/>
      </a:lt1>
      <a:dk2>
        <a:srgbClr val="6C1076"/>
      </a:dk2>
      <a:lt2>
        <a:srgbClr val="E7E6E6"/>
      </a:lt2>
      <a:accent1>
        <a:srgbClr val="2C438C"/>
      </a:accent1>
      <a:accent2>
        <a:srgbClr val="F1B67B"/>
      </a:accent2>
      <a:accent3>
        <a:srgbClr val="4060CA"/>
      </a:accent3>
      <a:accent4>
        <a:srgbClr val="46C8F6"/>
      </a:accent4>
      <a:accent5>
        <a:srgbClr val="A593E9"/>
      </a:accent5>
      <a:accent6>
        <a:srgbClr val="66CC00"/>
      </a:accent6>
      <a:hlink>
        <a:srgbClr val="0563C1"/>
      </a:hlink>
      <a:folHlink>
        <a:srgbClr val="0563C1"/>
      </a:folHlink>
    </a:clrScheme>
    <a:fontScheme name="Custom 33">
      <a:majorFont>
        <a:latin typeface="Century Gothic"/>
        <a:ea typeface=""/>
        <a:cs typeface=""/>
      </a:majorFont>
      <a:minorFont>
        <a:latin typeface="Segoe UI"/>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1.xml" Id="rId2" /></Relationships>
</file>

<file path=xl/worksheets/sheet1.xml><?xml version="1.0" encoding="utf-8"?>
<worksheet xmlns="http://schemas.openxmlformats.org/spreadsheetml/2006/main">
  <sheetPr>
    <tabColor theme="4"/>
    <outlinePr summaryBelow="1" summaryRight="1"/>
    <pageSetUpPr fitToPage="1"/>
  </sheetPr>
  <dimension ref="A1:H693"/>
  <sheetViews>
    <sheetView showGridLines="0" tabSelected="1" topLeftCell="A667" zoomScale="55" zoomScaleNormal="55" workbookViewId="0">
      <selection activeCell="I25" sqref="I25"/>
    </sheetView>
  </sheetViews>
  <sheetFormatPr baseColWidth="8" defaultColWidth="8.84375" defaultRowHeight="24" customHeight="1"/>
  <cols>
    <col width="2.84375" customWidth="1" style="9" min="1" max="1"/>
    <col width="22.4609375" customWidth="1" min="2" max="2"/>
    <col width="17.4609375" customWidth="1" min="3" max="3"/>
    <col width="12.3828125" customWidth="1" min="4" max="4"/>
    <col width="18.61328125" customWidth="1" min="5" max="5"/>
    <col hidden="1" width="14.15234375" customWidth="1" min="6" max="6"/>
    <col width="14.4609375" customWidth="1" min="7" max="7"/>
    <col width="16.3046875" customWidth="1" min="8" max="8"/>
  </cols>
  <sheetData>
    <row r="1" ht="66.5" customHeight="1">
      <c r="B1" s="28" t="inlineStr">
        <is>
          <t>BUDGET WHEEL</t>
        </is>
      </c>
      <c r="D1" s="30" t="n"/>
    </row>
    <row r="2" ht="119.5" customHeight="1">
      <c r="A2" s="10" t="n"/>
      <c r="B2" s="16" t="inlineStr">
        <is>
          <t>Monthly 
income</t>
        </is>
      </c>
      <c r="C2" s="15" t="n"/>
      <c r="D2" s="11" t="n"/>
      <c r="E2" s="11" t="n"/>
      <c r="G2" s="17" t="inlineStr">
        <is>
          <t>Savings 
amount</t>
        </is>
      </c>
    </row>
    <row r="3" ht="26.25" customHeight="1">
      <c r="B3" s="19" t="n">
        <v>5738</v>
      </c>
      <c r="C3" s="20" t="n"/>
      <c r="D3" s="21" t="n"/>
      <c r="E3" s="21" t="n"/>
      <c r="F3" s="18" t="n"/>
      <c r="G3" s="22">
        <f>Savings</f>
        <v/>
      </c>
    </row>
    <row r="4" ht="6" customHeight="1">
      <c r="B4" s="13" t="n"/>
      <c r="C4" s="11" t="n"/>
      <c r="D4" s="11" t="n"/>
      <c r="E4" s="11" t="n"/>
      <c r="G4" s="5" t="n"/>
    </row>
    <row r="5" ht="27" customHeight="1">
      <c r="C5" s="11" t="n"/>
      <c r="D5" s="11" t="n"/>
      <c r="E5" s="11" t="n"/>
      <c r="G5" s="23" t="inlineStr">
        <is>
          <t>Value calculated 
automatically</t>
        </is>
      </c>
    </row>
    <row r="6" ht="27" customHeight="1">
      <c r="C6" s="11" t="n"/>
      <c r="D6" s="11" t="n"/>
      <c r="E6" s="11" t="n"/>
      <c r="G6" s="14" t="n"/>
    </row>
    <row r="7" ht="248.5" customHeight="1">
      <c r="C7" s="11" t="n"/>
      <c r="D7" s="11" t="n"/>
      <c r="E7" s="11" t="n"/>
    </row>
    <row r="8" ht="40" customHeight="1">
      <c r="A8" s="12" t="n"/>
      <c r="B8" s="25" t="inlineStr">
        <is>
          <t>Expenses</t>
        </is>
      </c>
      <c r="C8" s="25" t="inlineStr">
        <is>
          <t>Category</t>
        </is>
      </c>
      <c r="D8" s="25" t="inlineStr">
        <is>
          <t>Amount</t>
        </is>
      </c>
      <c r="E8" s="25" t="inlineStr">
        <is>
          <t>Frequency</t>
        </is>
      </c>
      <c r="F8" s="25" t="inlineStr">
        <is>
          <t>Monthly Amount</t>
        </is>
      </c>
      <c r="G8" s="25" t="inlineStr">
        <is>
          <t>Date</t>
        </is>
      </c>
      <c r="H8" s="25" t="inlineStr">
        <is>
          <t>% of Total</t>
        </is>
      </c>
    </row>
    <row r="9" ht="24" customHeight="1">
      <c r="B9" s="31" t="n">
        <v>123</v>
      </c>
      <c r="C9" s="31" t="inlineStr">
        <is>
          <t>Transportation</t>
        </is>
      </c>
      <c r="D9" s="32" t="n">
        <v>10</v>
      </c>
      <c r="E9" s="31" t="inlineStr">
        <is>
          <t>Monthly</t>
        </is>
      </c>
      <c r="F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9" s="32" t="n"/>
      <c r="H9" s="33">
        <f>IF(Expenses[[#This Row],[Monthly Amount]]&lt;&gt;"",Expenses[[#This Row],[Monthly Amount]]/Income,"")</f>
        <v/>
      </c>
    </row>
    <row r="10" ht="24" customHeight="1">
      <c r="B10" s="31" t="inlineStr">
        <is>
          <t>Uber 072515 SF**POOL**</t>
        </is>
      </c>
      <c r="C10" s="31" t="inlineStr">
        <is>
          <t>Other</t>
        </is>
      </c>
      <c r="D10" s="32" t="n">
        <v>6.33</v>
      </c>
      <c r="E10" s="31" t="inlineStr">
        <is>
          <t>Monthly</t>
        </is>
      </c>
      <c r="F1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0" s="32" t="inlineStr">
        <is>
          <t>2025-05-02</t>
        </is>
      </c>
      <c r="H10" s="33">
        <f>IF(Expenses[[#This Row],[Monthly Amount]]&lt;&gt;"",Expenses[[#This Row],[Monthly Amount]]/Income,"")</f>
        <v/>
      </c>
    </row>
    <row r="11" ht="24" customHeight="1">
      <c r="B11" s="31" t="inlineStr">
        <is>
          <t>Uber 063015 SF**POOL**</t>
        </is>
      </c>
      <c r="C11" s="31" t="inlineStr">
        <is>
          <t>Other</t>
        </is>
      </c>
      <c r="D11" s="32" t="n">
        <v>5.4</v>
      </c>
      <c r="E11" s="31" t="inlineStr">
        <is>
          <t>Monthly</t>
        </is>
      </c>
      <c r="F1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1" s="32" t="inlineStr">
        <is>
          <t>2025-04-19</t>
        </is>
      </c>
      <c r="H11" s="33">
        <f>IF(Expenses[[#This Row],[Monthly Amount]]&lt;&gt;"",Expenses[[#This Row],[Monthly Amount]]/Income,"")</f>
        <v/>
      </c>
    </row>
    <row r="12" ht="24" customHeight="1">
      <c r="B12" s="31" t="inlineStr">
        <is>
          <t>United Airlines</t>
        </is>
      </c>
      <c r="C12" s="31" t="inlineStr">
        <is>
          <t>Travel</t>
        </is>
      </c>
      <c r="D12" s="32" t="n">
        <v>-500</v>
      </c>
      <c r="E12" s="31" t="inlineStr">
        <is>
          <t>Monthly</t>
        </is>
      </c>
      <c r="F1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2" s="32" t="inlineStr">
        <is>
          <t>2025-04-17</t>
        </is>
      </c>
      <c r="H12" s="33">
        <f>IF(Expenses[[#This Row],[Monthly Amount]]&lt;&gt;"",Expenses[[#This Row],[Monthly Amount]]/Income,"")</f>
        <v/>
      </c>
    </row>
    <row r="13" ht="24" customHeight="1">
      <c r="B13" s="31" t="inlineStr">
        <is>
          <t>McDonald's</t>
        </is>
      </c>
      <c r="C13" s="31" t="inlineStr">
        <is>
          <t>Food and Drink</t>
        </is>
      </c>
      <c r="D13" s="32" t="n">
        <v>12</v>
      </c>
      <c r="E13" s="31" t="inlineStr">
        <is>
          <t>Monthly</t>
        </is>
      </c>
      <c r="F1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3" s="32" t="inlineStr">
        <is>
          <t>2025-04-16</t>
        </is>
      </c>
      <c r="H13" s="33">
        <f>IF(Expenses[[#This Row],[Monthly Amount]]&lt;&gt;"",Expenses[[#This Row],[Monthly Amount]]/Income,"")</f>
        <v/>
      </c>
    </row>
    <row r="14" ht="24" customHeight="1">
      <c r="B14" s="31" t="inlineStr">
        <is>
          <t>Starbucks</t>
        </is>
      </c>
      <c r="C14" s="31" t="inlineStr">
        <is>
          <t>Food and Drink</t>
        </is>
      </c>
      <c r="D14" s="32" t="n">
        <v>4.33</v>
      </c>
      <c r="E14" s="31" t="inlineStr">
        <is>
          <t>Monthly</t>
        </is>
      </c>
      <c r="F1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4" s="32" t="inlineStr">
        <is>
          <t>2025-04-16</t>
        </is>
      </c>
      <c r="H14" s="33">
        <f>IF(Expenses[[#This Row],[Monthly Amount]]&lt;&gt;"",Expenses[[#This Row],[Monthly Amount]]/Income,"")</f>
        <v/>
      </c>
    </row>
    <row r="15" ht="24" customHeight="1">
      <c r="B15" s="31" t="inlineStr">
        <is>
          <t>SparkFun</t>
        </is>
      </c>
      <c r="C15" s="31" t="inlineStr">
        <is>
          <t>Other</t>
        </is>
      </c>
      <c r="D15" s="32" t="n">
        <v>89.40000000000001</v>
      </c>
      <c r="E15" s="31" t="inlineStr">
        <is>
          <t>Monthly</t>
        </is>
      </c>
      <c r="F1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5" s="32" t="inlineStr">
        <is>
          <t>2025-04-15</t>
        </is>
      </c>
      <c r="H15" s="33">
        <f>IF(Expenses[[#This Row],[Monthly Amount]]&lt;&gt;"",Expenses[[#This Row],[Monthly Amount]]/Income,"")</f>
        <v/>
      </c>
    </row>
    <row r="16" ht="24" customHeight="1">
      <c r="B16" s="31" t="inlineStr">
        <is>
          <t>CREDIT CARD 3333 PAYMENT *//</t>
        </is>
      </c>
      <c r="C16" s="31" t="inlineStr">
        <is>
          <t>Payment</t>
        </is>
      </c>
      <c r="D16" s="32" t="n">
        <v>25</v>
      </c>
      <c r="E16" s="31" t="inlineStr">
        <is>
          <t>Monthly</t>
        </is>
      </c>
      <c r="F1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6" s="32" t="inlineStr">
        <is>
          <t>2025-04-19</t>
        </is>
      </c>
      <c r="H16" s="33">
        <f>IF(Expenses[[#This Row],[Monthly Amount]]&lt;&gt;"",Expenses[[#This Row],[Monthly Amount]]/Income,"")</f>
        <v/>
      </c>
    </row>
    <row r="17" ht="24" customHeight="1">
      <c r="B17" s="31" t="inlineStr">
        <is>
          <t>INTRST PYMNT</t>
        </is>
      </c>
      <c r="C17" s="31" t="inlineStr">
        <is>
          <t>Other</t>
        </is>
      </c>
      <c r="D17" s="32" t="n">
        <v>-4.22</v>
      </c>
      <c r="E17" s="31" t="inlineStr">
        <is>
          <t>Monthly</t>
        </is>
      </c>
      <c r="F1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7" s="32" t="inlineStr">
        <is>
          <t>2025-04-14</t>
        </is>
      </c>
      <c r="H17" s="33">
        <f>IF(Expenses[[#This Row],[Monthly Amount]]&lt;&gt;"",Expenses[[#This Row],[Monthly Amount]]/Income,"")</f>
        <v/>
      </c>
    </row>
    <row r="18" ht="24" customHeight="1">
      <c r="B18" s="31" t="inlineStr">
        <is>
          <t>CD DEPOSIT .INITIAL.</t>
        </is>
      </c>
      <c r="C18" s="31" t="inlineStr">
        <is>
          <t>Transfer</t>
        </is>
      </c>
      <c r="D18" s="32" t="n">
        <v>1000</v>
      </c>
      <c r="E18" s="31" t="inlineStr">
        <is>
          <t>Monthly</t>
        </is>
      </c>
      <c r="F1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8" s="32" t="inlineStr">
        <is>
          <t>2025-04-18</t>
        </is>
      </c>
      <c r="H18" s="33">
        <f>IF(Expenses[[#This Row],[Monthly Amount]]&lt;&gt;"",Expenses[[#This Row],[Monthly Amount]]/Income,"")</f>
        <v/>
      </c>
    </row>
    <row r="19" ht="24" customHeight="1">
      <c r="B19" s="31" t="inlineStr">
        <is>
          <t>Tectra Inc</t>
        </is>
      </c>
      <c r="C19" s="31" t="inlineStr">
        <is>
          <t>Other</t>
        </is>
      </c>
      <c r="D19" s="32" t="n">
        <v>500</v>
      </c>
      <c r="E19" s="31" t="inlineStr">
        <is>
          <t>Monthly</t>
        </is>
      </c>
      <c r="F1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9" s="32" t="inlineStr">
        <is>
          <t>2025-04-29</t>
        </is>
      </c>
      <c r="H19" s="33">
        <f>IF(Expenses[[#This Row],[Monthly Amount]]&lt;&gt;"",Expenses[[#This Row],[Monthly Amount]]/Income,"")</f>
        <v/>
      </c>
    </row>
    <row r="20" ht="24" customHeight="1">
      <c r="B20" s="31" t="inlineStr">
        <is>
          <t>Madison Bicycle Shop</t>
        </is>
      </c>
      <c r="C20" s="31" t="inlineStr">
        <is>
          <t>Other</t>
        </is>
      </c>
      <c r="D20" s="32" t="n">
        <v>500</v>
      </c>
      <c r="E20" s="31" t="inlineStr">
        <is>
          <t>Monthly</t>
        </is>
      </c>
      <c r="F2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0" s="32" t="inlineStr">
        <is>
          <t>2025-04-28</t>
        </is>
      </c>
      <c r="H20" s="33">
        <f>IF(Expenses[[#This Row],[Monthly Amount]]&lt;&gt;"",Expenses[[#This Row],[Monthly Amount]]/Income,"")</f>
        <v/>
      </c>
    </row>
    <row r="21" ht="24" customHeight="1">
      <c r="B21" s="31" t="inlineStr">
        <is>
          <t>KFC</t>
        </is>
      </c>
      <c r="C21" s="31" t="inlineStr">
        <is>
          <t>Food and Drink</t>
        </is>
      </c>
      <c r="D21" s="32" t="n">
        <v>500</v>
      </c>
      <c r="E21" s="31" t="inlineStr">
        <is>
          <t>Monthly</t>
        </is>
      </c>
      <c r="F2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1" s="32" t="inlineStr">
        <is>
          <t>2025-04-28</t>
        </is>
      </c>
      <c r="H21" s="33">
        <f>IF(Expenses[[#This Row],[Monthly Amount]]&lt;&gt;"",Expenses[[#This Row],[Monthly Amount]]/Income,"")</f>
        <v/>
      </c>
    </row>
    <row r="22" ht="24" customHeight="1">
      <c r="B22" s="31" t="inlineStr">
        <is>
          <t>AUTOMATIC PAYMENT - THANK</t>
        </is>
      </c>
      <c r="C22" s="31" t="inlineStr">
        <is>
          <t>Payment</t>
        </is>
      </c>
      <c r="D22" s="32" t="n">
        <v>2078.5</v>
      </c>
      <c r="E22" s="31" t="inlineStr">
        <is>
          <t>Monthly</t>
        </is>
      </c>
      <c r="F2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2" s="32" t="inlineStr">
        <is>
          <t>2025-04-28</t>
        </is>
      </c>
      <c r="H22" s="33">
        <f>IF(Expenses[[#This Row],[Monthly Amount]]&lt;&gt;"",Expenses[[#This Row],[Monthly Amount]]/Income,"")</f>
        <v/>
      </c>
    </row>
    <row r="23" ht="24" customHeight="1">
      <c r="B23" s="31" t="inlineStr">
        <is>
          <t>Touchstone Climbing</t>
        </is>
      </c>
      <c r="C23" s="31" t="inlineStr">
        <is>
          <t>Other</t>
        </is>
      </c>
      <c r="D23" s="32" t="n">
        <v>78.5</v>
      </c>
      <c r="E23" s="31" t="inlineStr">
        <is>
          <t>Monthly</t>
        </is>
      </c>
      <c r="F2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3" s="32" t="inlineStr">
        <is>
          <t>2025-04-17</t>
        </is>
      </c>
      <c r="H23" s="33">
        <f>IF(Expenses[[#This Row],[Monthly Amount]]&lt;&gt;"",Expenses[[#This Row],[Monthly Amount]]/Income,"")</f>
        <v/>
      </c>
    </row>
    <row r="24" ht="24" customHeight="1">
      <c r="B24" s="31" t="inlineStr">
        <is>
          <t>United Airlines</t>
        </is>
      </c>
      <c r="C24" s="31" t="inlineStr">
        <is>
          <t>Travel</t>
        </is>
      </c>
      <c r="D24" s="32" t="n">
        <v>500</v>
      </c>
      <c r="E24" s="31" t="inlineStr">
        <is>
          <t>Monthly</t>
        </is>
      </c>
      <c r="F2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4" s="32" t="inlineStr">
        <is>
          <t>2025-04-04</t>
        </is>
      </c>
      <c r="H24" s="33">
        <f>IF(Expenses[[#This Row],[Monthly Amount]]&lt;&gt;"",Expenses[[#This Row],[Monthly Amount]]/Income,"")</f>
        <v/>
      </c>
    </row>
    <row r="25" ht="24" customHeight="1">
      <c r="B25" s="31" t="inlineStr">
        <is>
          <t>ACH Electronic CreditGUSTO PAY 123456</t>
        </is>
      </c>
      <c r="C25" s="31" t="inlineStr">
        <is>
          <t>Other</t>
        </is>
      </c>
      <c r="D25" s="32" t="n">
        <v>5850</v>
      </c>
      <c r="E25" s="31" t="inlineStr">
        <is>
          <t>Monthly</t>
        </is>
      </c>
      <c r="F2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5" s="32" t="inlineStr">
        <is>
          <t>2025-04-18</t>
        </is>
      </c>
      <c r="H25" s="33">
        <f>IF(Expenses[[#This Row],[Monthly Amount]]&lt;&gt;"",Expenses[[#This Row],[Monthly Amount]]/Income,"")</f>
        <v/>
      </c>
    </row>
    <row r="26" ht="24" customHeight="1">
      <c r="B26" s="31" t="inlineStr">
        <is>
          <t>123</t>
        </is>
      </c>
      <c r="C26" s="31" t="inlineStr">
        <is>
          <t>31231231</t>
        </is>
      </c>
      <c r="D26" s="32" t="n">
        <v>1233</v>
      </c>
      <c r="E26" s="31" t="inlineStr">
        <is>
          <t>Monthly</t>
        </is>
      </c>
      <c r="F2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6" s="32" t="inlineStr">
        <is>
          <t>2025-05-03</t>
        </is>
      </c>
      <c r="H26" s="33">
        <f>IF(Expenses[[#This Row],[Monthly Amount]]&lt;&gt;"",Expenses[[#This Row],[Monthly Amount]]/Income,"")</f>
        <v/>
      </c>
    </row>
    <row r="27" ht="24" customHeight="1">
      <c r="B27" s="31" t="n"/>
      <c r="C27" s="31" t="n"/>
      <c r="D27" s="32" t="n"/>
      <c r="E27" s="31" t="n"/>
      <c r="F2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7" s="32" t="n"/>
      <c r="H27" s="33">
        <f>IF(Expenses[[#This Row],[Monthly Amount]]&lt;&gt;"",Expenses[[#This Row],[Monthly Amount]]/Income,"")</f>
        <v/>
      </c>
    </row>
    <row r="28" ht="24" customHeight="1">
      <c r="B28" s="31" t="n"/>
      <c r="C28" s="31" t="n"/>
      <c r="D28" s="32" t="n"/>
      <c r="E28" s="31" t="n"/>
      <c r="F2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8" s="32" t="n"/>
      <c r="H28" s="33">
        <f>IF(Expenses[[#This Row],[Monthly Amount]]&lt;&gt;"",Expenses[[#This Row],[Monthly Amount]]/Income,"")</f>
        <v/>
      </c>
    </row>
    <row r="29" ht="24" customHeight="1">
      <c r="B29" s="31" t="n"/>
      <c r="C29" s="31" t="n"/>
      <c r="D29" s="32" t="n"/>
      <c r="E29" s="31" t="n"/>
      <c r="F2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9" s="32" t="n"/>
      <c r="H29" s="33">
        <f>IF(Expenses[[#This Row],[Monthly Amount]]&lt;&gt;"",Expenses[[#This Row],[Monthly Amount]]/Income,"")</f>
        <v/>
      </c>
    </row>
    <row r="30" ht="24" customHeight="1">
      <c r="B30" s="31" t="n"/>
      <c r="C30" s="31" t="n"/>
      <c r="D30" s="32" t="n"/>
      <c r="E30" s="31" t="n"/>
      <c r="F3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0" s="32" t="n"/>
      <c r="H30" s="33">
        <f>IF(Expenses[[#This Row],[Monthly Amount]]&lt;&gt;"",Expenses[[#This Row],[Monthly Amount]]/Income,"")</f>
        <v/>
      </c>
    </row>
    <row r="31" ht="24" customHeight="1">
      <c r="B31" s="31" t="n"/>
      <c r="C31" s="31" t="n"/>
      <c r="D31" s="32" t="n"/>
      <c r="E31" s="31" t="n"/>
      <c r="F3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1" s="32" t="n"/>
      <c r="H31" s="33">
        <f>IF(Expenses[[#This Row],[Monthly Amount]]&lt;&gt;"",Expenses[[#This Row],[Monthly Amount]]/Income,"")</f>
        <v/>
      </c>
    </row>
    <row r="32" ht="24" customHeight="1">
      <c r="B32" s="31" t="n"/>
      <c r="C32" s="31" t="n"/>
      <c r="D32" s="32" t="n"/>
      <c r="E32" s="31" t="n"/>
      <c r="F3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2" s="32" t="n"/>
      <c r="H32" s="33">
        <f>IF(Expenses[[#This Row],[Monthly Amount]]&lt;&gt;"",Expenses[[#This Row],[Monthly Amount]]/Income,"")</f>
        <v/>
      </c>
    </row>
    <row r="33" ht="24" customHeight="1">
      <c r="B33" s="31" t="n"/>
      <c r="C33" s="31" t="n"/>
      <c r="D33" s="32" t="n"/>
      <c r="E33" s="31" t="n"/>
      <c r="F3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3" s="32" t="n"/>
      <c r="H33" s="33">
        <f>IF(Expenses[[#This Row],[Monthly Amount]]&lt;&gt;"",Expenses[[#This Row],[Monthly Amount]]/Income,"")</f>
        <v/>
      </c>
    </row>
    <row r="34" ht="24" customHeight="1">
      <c r="B34" s="31" t="n"/>
      <c r="C34" s="31" t="n"/>
      <c r="D34" s="32" t="n"/>
      <c r="E34" s="31" t="n"/>
      <c r="F3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4" s="32" t="n"/>
      <c r="H34" s="33">
        <f>IF(Expenses[[#This Row],[Monthly Amount]]&lt;&gt;"",Expenses[[#This Row],[Monthly Amount]]/Income,"")</f>
        <v/>
      </c>
    </row>
    <row r="35" ht="24" customHeight="1">
      <c r="B35" s="31" t="n"/>
      <c r="C35" s="31" t="n"/>
      <c r="D35" s="32" t="n"/>
      <c r="E35" s="31" t="n"/>
      <c r="F3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5" s="32" t="n"/>
      <c r="H35" s="33">
        <f>IF(Expenses[[#This Row],[Monthly Amount]]&lt;&gt;"",Expenses[[#This Row],[Monthly Amount]]/Income,"")</f>
        <v/>
      </c>
    </row>
    <row r="36" ht="24" customHeight="1">
      <c r="B36" s="31" t="n"/>
      <c r="C36" s="31" t="n"/>
      <c r="D36" s="32" t="n"/>
      <c r="E36" s="31" t="n"/>
      <c r="F3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6" s="32" t="n"/>
      <c r="H36" s="33">
        <f>IF(Expenses[[#This Row],[Monthly Amount]]&lt;&gt;"",Expenses[[#This Row],[Monthly Amount]]/Income,"")</f>
        <v/>
      </c>
    </row>
    <row r="37" ht="24" customHeight="1">
      <c r="B37" s="31" t="n"/>
      <c r="C37" s="31" t="n"/>
      <c r="D37" s="32" t="n"/>
      <c r="E37" s="31" t="n"/>
      <c r="F3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7" s="32" t="n"/>
      <c r="H37" s="33">
        <f>IF(Expenses[[#This Row],[Monthly Amount]]&lt;&gt;"",Expenses[[#This Row],[Monthly Amount]]/Income,"")</f>
        <v/>
      </c>
    </row>
    <row r="38" ht="24" customHeight="1">
      <c r="B38" s="31" t="n"/>
      <c r="C38" s="31" t="n"/>
      <c r="D38" s="32" t="n"/>
      <c r="E38" s="31" t="n"/>
      <c r="F3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8" s="32" t="n"/>
      <c r="H38" s="33">
        <f>IF(Expenses[[#This Row],[Monthly Amount]]&lt;&gt;"",Expenses[[#This Row],[Monthly Amount]]/Income,"")</f>
        <v/>
      </c>
    </row>
    <row r="39" ht="24" customHeight="1">
      <c r="B39" s="31" t="n"/>
      <c r="C39" s="31" t="n"/>
      <c r="D39" s="32" t="n"/>
      <c r="E39" s="31" t="n"/>
      <c r="F3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9" s="32" t="n"/>
      <c r="H39" s="33">
        <f>IF(Expenses[[#This Row],[Monthly Amount]]&lt;&gt;"",Expenses[[#This Row],[Monthly Amount]]/Income,"")</f>
        <v/>
      </c>
    </row>
    <row r="40" ht="24" customHeight="1">
      <c r="B40" s="31" t="n"/>
      <c r="C40" s="31" t="n"/>
      <c r="D40" s="32" t="n"/>
      <c r="E40" s="31" t="n"/>
      <c r="F4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0" s="32" t="n"/>
      <c r="H40" s="33">
        <f>IF(Expenses[[#This Row],[Monthly Amount]]&lt;&gt;"",Expenses[[#This Row],[Monthly Amount]]/Income,"")</f>
        <v/>
      </c>
    </row>
    <row r="41" ht="24" customHeight="1">
      <c r="B41" s="31" t="n"/>
      <c r="C41" s="31" t="n"/>
      <c r="D41" s="32" t="n"/>
      <c r="E41" s="31" t="n"/>
      <c r="F4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1" s="32" t="n"/>
      <c r="H41" s="33">
        <f>IF(Expenses[[#This Row],[Monthly Amount]]&lt;&gt;"",Expenses[[#This Row],[Monthly Amount]]/Income,"")</f>
        <v/>
      </c>
    </row>
    <row r="42" ht="24" customHeight="1">
      <c r="B42" s="31" t="n"/>
      <c r="C42" s="31" t="n"/>
      <c r="D42" s="32" t="n"/>
      <c r="E42" s="31" t="n"/>
      <c r="F4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2" s="32" t="n"/>
      <c r="H42" s="33">
        <f>IF(Expenses[[#This Row],[Monthly Amount]]&lt;&gt;"",Expenses[[#This Row],[Monthly Amount]]/Income,"")</f>
        <v/>
      </c>
    </row>
    <row r="43" ht="24" customHeight="1">
      <c r="B43" s="31" t="n"/>
      <c r="C43" s="31" t="n"/>
      <c r="D43" s="32" t="n"/>
      <c r="E43" s="31" t="n"/>
      <c r="F4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3" s="32" t="n"/>
      <c r="H43" s="33">
        <f>IF(Expenses[[#This Row],[Monthly Amount]]&lt;&gt;"",Expenses[[#This Row],[Monthly Amount]]/Income,"")</f>
        <v/>
      </c>
    </row>
    <row r="44" ht="24" customHeight="1">
      <c r="B44" s="31" t="n"/>
      <c r="C44" s="31" t="n"/>
      <c r="D44" s="32" t="n"/>
      <c r="E44" s="31" t="n"/>
      <c r="F4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4" s="32" t="n"/>
      <c r="H44" s="33">
        <f>IF(Expenses[[#This Row],[Monthly Amount]]&lt;&gt;"",Expenses[[#This Row],[Monthly Amount]]/Income,"")</f>
        <v/>
      </c>
    </row>
    <row r="45" ht="24" customHeight="1">
      <c r="B45" s="31" t="n"/>
      <c r="C45" s="31" t="n"/>
      <c r="D45" s="32" t="n"/>
      <c r="E45" s="31" t="n"/>
      <c r="F4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5" s="32" t="n"/>
      <c r="H45" s="33">
        <f>IF(Expenses[[#This Row],[Monthly Amount]]&lt;&gt;"",Expenses[[#This Row],[Monthly Amount]]/Income,"")</f>
        <v/>
      </c>
    </row>
    <row r="46" ht="24" customHeight="1">
      <c r="B46" s="31" t="n"/>
      <c r="C46" s="31" t="n"/>
      <c r="D46" s="32" t="n"/>
      <c r="E46" s="31" t="n"/>
      <c r="F4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6" s="32" t="n"/>
      <c r="H46" s="33">
        <f>IF(Expenses[[#This Row],[Monthly Amount]]&lt;&gt;"",Expenses[[#This Row],[Monthly Amount]]/Income,"")</f>
        <v/>
      </c>
    </row>
    <row r="47" ht="24" customHeight="1">
      <c r="B47" s="31" t="n"/>
      <c r="C47" s="31" t="n"/>
      <c r="D47" s="32" t="n"/>
      <c r="E47" s="31" t="n"/>
      <c r="F4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7" s="32" t="n"/>
      <c r="H47" s="33">
        <f>IF(Expenses[[#This Row],[Monthly Amount]]&lt;&gt;"",Expenses[[#This Row],[Monthly Amount]]/Income,"")</f>
        <v/>
      </c>
    </row>
    <row r="48" ht="24" customHeight="1">
      <c r="B48" s="31" t="n"/>
      <c r="C48" s="31" t="n"/>
      <c r="D48" s="32" t="n"/>
      <c r="E48" s="31" t="n"/>
      <c r="F4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8" s="32" t="n"/>
      <c r="H48" s="33">
        <f>IF(Expenses[[#This Row],[Monthly Amount]]&lt;&gt;"",Expenses[[#This Row],[Monthly Amount]]/Income,"")</f>
        <v/>
      </c>
    </row>
    <row r="49" ht="24" customHeight="1">
      <c r="B49" s="31" t="n"/>
      <c r="C49" s="31" t="n"/>
      <c r="D49" s="32" t="n"/>
      <c r="E49" s="31" t="n"/>
      <c r="F4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9" s="32" t="n"/>
      <c r="H49" s="33">
        <f>IF(Expenses[[#This Row],[Monthly Amount]]&lt;&gt;"",Expenses[[#This Row],[Monthly Amount]]/Income,"")</f>
        <v/>
      </c>
    </row>
    <row r="50" ht="24" customHeight="1">
      <c r="B50" s="31" t="n"/>
      <c r="C50" s="31" t="n"/>
      <c r="D50" s="32" t="n"/>
      <c r="E50" s="31" t="n"/>
      <c r="F5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0" s="32" t="n"/>
      <c r="H50" s="33">
        <f>IF(Expenses[[#This Row],[Monthly Amount]]&lt;&gt;"",Expenses[[#This Row],[Monthly Amount]]/Income,"")</f>
        <v/>
      </c>
    </row>
    <row r="51" ht="24" customHeight="1">
      <c r="B51" s="31" t="n"/>
      <c r="C51" s="31" t="n"/>
      <c r="D51" s="32" t="n"/>
      <c r="E51" s="31" t="n"/>
      <c r="F5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1" s="32" t="n"/>
      <c r="H51" s="33">
        <f>IF(Expenses[[#This Row],[Monthly Amount]]&lt;&gt;"",Expenses[[#This Row],[Monthly Amount]]/Income,"")</f>
        <v/>
      </c>
    </row>
    <row r="52" ht="24" customHeight="1">
      <c r="B52" s="31" t="n"/>
      <c r="C52" s="31" t="n"/>
      <c r="D52" s="32" t="n"/>
      <c r="E52" s="31" t="n"/>
      <c r="F5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2" s="32" t="n"/>
      <c r="H52" s="33">
        <f>IF(Expenses[[#This Row],[Monthly Amount]]&lt;&gt;"",Expenses[[#This Row],[Monthly Amount]]/Income,"")</f>
        <v/>
      </c>
    </row>
    <row r="53" ht="24" customHeight="1">
      <c r="B53" s="31" t="n"/>
      <c r="C53" s="31" t="n"/>
      <c r="D53" s="32" t="n"/>
      <c r="E53" s="31" t="n"/>
      <c r="F5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3" s="32" t="n"/>
      <c r="H53" s="33">
        <f>IF(Expenses[[#This Row],[Monthly Amount]]&lt;&gt;"",Expenses[[#This Row],[Monthly Amount]]/Income,"")</f>
        <v/>
      </c>
    </row>
    <row r="54" ht="24" customHeight="1">
      <c r="B54" s="31" t="n"/>
      <c r="C54" s="31" t="n"/>
      <c r="D54" s="32" t="n"/>
      <c r="E54" s="31" t="n"/>
      <c r="F5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4" s="32" t="n"/>
      <c r="H54" s="33">
        <f>IF(Expenses[[#This Row],[Monthly Amount]]&lt;&gt;"",Expenses[[#This Row],[Monthly Amount]]/Income,"")</f>
        <v/>
      </c>
    </row>
    <row r="55" ht="24" customHeight="1">
      <c r="B55" s="31" t="n"/>
      <c r="C55" s="31" t="n"/>
      <c r="D55" s="32" t="n"/>
      <c r="E55" s="31" t="n"/>
      <c r="F5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5" s="32" t="n"/>
      <c r="H55" s="33">
        <f>IF(Expenses[[#This Row],[Monthly Amount]]&lt;&gt;"",Expenses[[#This Row],[Monthly Amount]]/Income,"")</f>
        <v/>
      </c>
    </row>
    <row r="56" ht="24" customHeight="1">
      <c r="B56" s="31" t="n"/>
      <c r="C56" s="31" t="n"/>
      <c r="D56" s="32" t="n"/>
      <c r="E56" s="31" t="n"/>
      <c r="F5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6" s="32" t="n"/>
      <c r="H56" s="33">
        <f>IF(Expenses[[#This Row],[Monthly Amount]]&lt;&gt;"",Expenses[[#This Row],[Monthly Amount]]/Income,"")</f>
        <v/>
      </c>
    </row>
    <row r="57" ht="24" customHeight="1">
      <c r="B57" s="31" t="n"/>
      <c r="C57" s="31" t="n"/>
      <c r="D57" s="32" t="n"/>
      <c r="E57" s="31" t="n"/>
      <c r="F5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7" s="32" t="n"/>
      <c r="H57" s="33">
        <f>IF(Expenses[[#This Row],[Monthly Amount]]&lt;&gt;"",Expenses[[#This Row],[Monthly Amount]]/Income,"")</f>
        <v/>
      </c>
    </row>
    <row r="58" ht="24" customHeight="1">
      <c r="B58" s="31" t="n"/>
      <c r="C58" s="31" t="n"/>
      <c r="D58" s="32" t="n"/>
      <c r="E58" s="31" t="n"/>
      <c r="F5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8" s="32" t="n"/>
      <c r="H58" s="33">
        <f>IF(Expenses[[#This Row],[Monthly Amount]]&lt;&gt;"",Expenses[[#This Row],[Monthly Amount]]/Income,"")</f>
        <v/>
      </c>
    </row>
    <row r="59" ht="24" customHeight="1">
      <c r="B59" s="31" t="n"/>
      <c r="C59" s="31" t="n"/>
      <c r="D59" s="32" t="n"/>
      <c r="E59" s="31" t="n"/>
      <c r="F5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9" s="32" t="n"/>
      <c r="H59" s="33">
        <f>IF(Expenses[[#This Row],[Monthly Amount]]&lt;&gt;"",Expenses[[#This Row],[Monthly Amount]]/Income,"")</f>
        <v/>
      </c>
    </row>
    <row r="60" ht="24" customHeight="1">
      <c r="B60" s="31" t="n"/>
      <c r="C60" s="31" t="n"/>
      <c r="D60" s="32" t="n"/>
      <c r="E60" s="31" t="n"/>
      <c r="F6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0" s="32" t="n"/>
      <c r="H60" s="33">
        <f>IF(Expenses[[#This Row],[Monthly Amount]]&lt;&gt;"",Expenses[[#This Row],[Monthly Amount]]/Income,"")</f>
        <v/>
      </c>
    </row>
    <row r="61" ht="24" customHeight="1">
      <c r="B61" s="31" t="n"/>
      <c r="C61" s="31" t="n"/>
      <c r="D61" s="32" t="n"/>
      <c r="E61" s="31" t="n"/>
      <c r="F6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1" s="32" t="n"/>
      <c r="H61" s="33">
        <f>IF(Expenses[[#This Row],[Monthly Amount]]&lt;&gt;"",Expenses[[#This Row],[Monthly Amount]]/Income,"")</f>
        <v/>
      </c>
    </row>
    <row r="62" ht="24" customHeight="1">
      <c r="B62" s="31" t="n"/>
      <c r="C62" s="31" t="n"/>
      <c r="D62" s="32" t="n"/>
      <c r="E62" s="31" t="n"/>
      <c r="F6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2" s="32" t="n"/>
      <c r="H62" s="33">
        <f>IF(Expenses[[#This Row],[Monthly Amount]]&lt;&gt;"",Expenses[[#This Row],[Monthly Amount]]/Income,"")</f>
        <v/>
      </c>
    </row>
    <row r="63" ht="24" customHeight="1">
      <c r="B63" s="31" t="n"/>
      <c r="C63" s="31" t="n"/>
      <c r="D63" s="32" t="n"/>
      <c r="E63" s="31" t="n"/>
      <c r="F6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3" s="32" t="n"/>
      <c r="H63" s="33">
        <f>IF(Expenses[[#This Row],[Monthly Amount]]&lt;&gt;"",Expenses[[#This Row],[Monthly Amount]]/Income,"")</f>
        <v/>
      </c>
    </row>
    <row r="64" ht="24" customHeight="1">
      <c r="B64" s="31" t="n"/>
      <c r="C64" s="31" t="n"/>
      <c r="D64" s="32" t="n"/>
      <c r="E64" s="31" t="n"/>
      <c r="F6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4" s="32" t="n"/>
      <c r="H64" s="33">
        <f>IF(Expenses[[#This Row],[Monthly Amount]]&lt;&gt;"",Expenses[[#This Row],[Monthly Amount]]/Income,"")</f>
        <v/>
      </c>
    </row>
    <row r="65" ht="24" customHeight="1">
      <c r="B65" s="31" t="n"/>
      <c r="C65" s="31" t="n"/>
      <c r="D65" s="32" t="n"/>
      <c r="E65" s="31" t="n"/>
      <c r="F6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5" s="32" t="n"/>
      <c r="H65" s="33">
        <f>IF(Expenses[[#This Row],[Monthly Amount]]&lt;&gt;"",Expenses[[#This Row],[Monthly Amount]]/Income,"")</f>
        <v/>
      </c>
    </row>
    <row r="66" ht="24" customHeight="1">
      <c r="B66" s="31" t="n"/>
      <c r="C66" s="31" t="n"/>
      <c r="D66" s="32" t="n"/>
      <c r="E66" s="31" t="n"/>
      <c r="F6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6" s="32" t="n"/>
      <c r="H66" s="33">
        <f>IF(Expenses[[#This Row],[Monthly Amount]]&lt;&gt;"",Expenses[[#This Row],[Monthly Amount]]/Income,"")</f>
        <v/>
      </c>
    </row>
    <row r="67" ht="24" customHeight="1">
      <c r="B67" s="31" t="n"/>
      <c r="C67" s="31" t="n"/>
      <c r="D67" s="32" t="n"/>
      <c r="E67" s="31" t="n"/>
      <c r="F6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7" s="32" t="n"/>
      <c r="H67" s="33">
        <f>IF(Expenses[[#This Row],[Monthly Amount]]&lt;&gt;"",Expenses[[#This Row],[Monthly Amount]]/Income,"")</f>
        <v/>
      </c>
    </row>
    <row r="68" ht="24" customHeight="1">
      <c r="B68" s="31" t="n"/>
      <c r="C68" s="31" t="n"/>
      <c r="D68" s="32" t="n"/>
      <c r="E68" s="31" t="n"/>
      <c r="F6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8" s="32" t="n"/>
      <c r="H68" s="33">
        <f>IF(Expenses[[#This Row],[Monthly Amount]]&lt;&gt;"",Expenses[[#This Row],[Monthly Amount]]/Income,"")</f>
        <v/>
      </c>
    </row>
    <row r="69" ht="24" customHeight="1">
      <c r="B69" s="31" t="n"/>
      <c r="C69" s="31" t="n"/>
      <c r="D69" s="32" t="n"/>
      <c r="E69" s="31" t="n"/>
      <c r="F6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9" s="32" t="n"/>
      <c r="H69" s="33">
        <f>IF(Expenses[[#This Row],[Monthly Amount]]&lt;&gt;"",Expenses[[#This Row],[Monthly Amount]]/Income,"")</f>
        <v/>
      </c>
    </row>
    <row r="70" ht="24" customHeight="1">
      <c r="B70" s="31" t="n"/>
      <c r="C70" s="31" t="n"/>
      <c r="D70" s="32" t="n"/>
      <c r="E70" s="31" t="n"/>
      <c r="F7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70" s="32" t="n"/>
      <c r="H70" s="33">
        <f>IF(Expenses[[#This Row],[Monthly Amount]]&lt;&gt;"",Expenses[[#This Row],[Monthly Amount]]/Income,"")</f>
        <v/>
      </c>
    </row>
    <row r="71" ht="24" customHeight="1">
      <c r="B71" s="31" t="n"/>
      <c r="C71" s="31" t="n"/>
      <c r="D71" s="32" t="n"/>
      <c r="E71" s="31" t="n"/>
      <c r="F7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71" s="32" t="n"/>
      <c r="H71" s="33">
        <f>IF(Expenses[[#This Row],[Monthly Amount]]&lt;&gt;"",Expenses[[#This Row],[Monthly Amount]]/Income,"")</f>
        <v/>
      </c>
    </row>
    <row r="72" ht="24" customHeight="1">
      <c r="B72" s="31" t="n"/>
      <c r="C72" s="31" t="n"/>
      <c r="D72" s="32" t="n"/>
      <c r="E72" s="31" t="n"/>
      <c r="F7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72" s="32" t="n"/>
      <c r="H72" s="33">
        <f>IF(Expenses[[#This Row],[Monthly Amount]]&lt;&gt;"",Expenses[[#This Row],[Monthly Amount]]/Income,"")</f>
        <v/>
      </c>
    </row>
    <row r="73" ht="24" customHeight="1">
      <c r="B73" s="31" t="n"/>
      <c r="C73" s="31" t="n"/>
      <c r="D73" s="32" t="n"/>
      <c r="E73" s="31" t="n"/>
      <c r="F7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73" s="32" t="n"/>
      <c r="H73" s="33">
        <f>IF(Expenses[[#This Row],[Monthly Amount]]&lt;&gt;"",Expenses[[#This Row],[Monthly Amount]]/Income,"")</f>
        <v/>
      </c>
    </row>
    <row r="74" ht="24" customHeight="1">
      <c r="B74" s="31" t="n"/>
      <c r="C74" s="31" t="n"/>
      <c r="D74" s="32" t="n"/>
      <c r="E74" s="31" t="n"/>
      <c r="F7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74" s="32" t="n"/>
      <c r="H74" s="33">
        <f>IF(Expenses[[#This Row],[Monthly Amount]]&lt;&gt;"",Expenses[[#This Row],[Monthly Amount]]/Income,"")</f>
        <v/>
      </c>
    </row>
    <row r="75" ht="24" customHeight="1">
      <c r="B75" s="31" t="n"/>
      <c r="C75" s="31" t="n"/>
      <c r="D75" s="32" t="n"/>
      <c r="E75" s="31" t="n"/>
      <c r="F7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75" s="32" t="n"/>
      <c r="H75" s="33">
        <f>IF(Expenses[[#This Row],[Monthly Amount]]&lt;&gt;"",Expenses[[#This Row],[Monthly Amount]]/Income,"")</f>
        <v/>
      </c>
    </row>
    <row r="76" ht="24" customHeight="1">
      <c r="B76" s="31" t="n"/>
      <c r="C76" s="31" t="n"/>
      <c r="D76" s="32" t="n"/>
      <c r="E76" s="31" t="n"/>
      <c r="F7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76" s="32" t="n"/>
      <c r="H76" s="33">
        <f>IF(Expenses[[#This Row],[Monthly Amount]]&lt;&gt;"",Expenses[[#This Row],[Monthly Amount]]/Income,"")</f>
        <v/>
      </c>
    </row>
    <row r="77" ht="24" customHeight="1">
      <c r="B77" s="31" t="n"/>
      <c r="C77" s="31" t="n"/>
      <c r="D77" s="32" t="n"/>
      <c r="E77" s="31" t="n"/>
      <c r="F7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77" s="32" t="n"/>
      <c r="H77" s="33">
        <f>IF(Expenses[[#This Row],[Monthly Amount]]&lt;&gt;"",Expenses[[#This Row],[Monthly Amount]]/Income,"")</f>
        <v/>
      </c>
    </row>
    <row r="78" ht="24" customHeight="1">
      <c r="B78" s="31" t="n"/>
      <c r="C78" s="31" t="n"/>
      <c r="D78" s="32" t="n"/>
      <c r="E78" s="31" t="n"/>
      <c r="F7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78" s="32" t="n"/>
      <c r="H78" s="33">
        <f>IF(Expenses[[#This Row],[Monthly Amount]]&lt;&gt;"",Expenses[[#This Row],[Monthly Amount]]/Income,"")</f>
        <v/>
      </c>
    </row>
    <row r="79" ht="24" customHeight="1">
      <c r="B79" s="31" t="n"/>
      <c r="C79" s="31" t="n"/>
      <c r="D79" s="32" t="n"/>
      <c r="E79" s="31" t="n"/>
      <c r="F7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79" s="32" t="n"/>
      <c r="H79" s="33">
        <f>IF(Expenses[[#This Row],[Monthly Amount]]&lt;&gt;"",Expenses[[#This Row],[Monthly Amount]]/Income,"")</f>
        <v/>
      </c>
    </row>
    <row r="80" ht="24" customHeight="1">
      <c r="B80" s="31" t="n"/>
      <c r="C80" s="31" t="n"/>
      <c r="D80" s="32" t="n"/>
      <c r="E80" s="31" t="n"/>
      <c r="F8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80" s="32" t="n"/>
      <c r="H80" s="33">
        <f>IF(Expenses[[#This Row],[Monthly Amount]]&lt;&gt;"",Expenses[[#This Row],[Monthly Amount]]/Income,"")</f>
        <v/>
      </c>
    </row>
    <row r="81" ht="24" customHeight="1">
      <c r="B81" s="31" t="n"/>
      <c r="C81" s="31" t="n"/>
      <c r="D81" s="32" t="n"/>
      <c r="E81" s="31" t="n"/>
      <c r="F8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81" s="32" t="n"/>
      <c r="H81" s="33">
        <f>IF(Expenses[[#This Row],[Monthly Amount]]&lt;&gt;"",Expenses[[#This Row],[Monthly Amount]]/Income,"")</f>
        <v/>
      </c>
    </row>
    <row r="82" ht="24" customHeight="1">
      <c r="B82" s="31" t="n"/>
      <c r="C82" s="31" t="n"/>
      <c r="D82" s="32" t="n"/>
      <c r="E82" s="31" t="n"/>
      <c r="F8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82" s="32" t="n"/>
      <c r="H82" s="33">
        <f>IF(Expenses[[#This Row],[Monthly Amount]]&lt;&gt;"",Expenses[[#This Row],[Monthly Amount]]/Income,"")</f>
        <v/>
      </c>
    </row>
    <row r="83" ht="24" customHeight="1">
      <c r="B83" s="31" t="n"/>
      <c r="C83" s="31" t="n"/>
      <c r="D83" s="32" t="n"/>
      <c r="E83" s="31" t="n"/>
      <c r="F8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83" s="32" t="n"/>
      <c r="H83" s="33">
        <f>IF(Expenses[[#This Row],[Monthly Amount]]&lt;&gt;"",Expenses[[#This Row],[Monthly Amount]]/Income,"")</f>
        <v/>
      </c>
    </row>
    <row r="84" ht="24" customHeight="1">
      <c r="B84" s="31" t="n"/>
      <c r="C84" s="31" t="n"/>
      <c r="D84" s="32" t="n"/>
      <c r="E84" s="31" t="n"/>
      <c r="F8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84" s="32" t="n"/>
      <c r="H84" s="33">
        <f>IF(Expenses[[#This Row],[Monthly Amount]]&lt;&gt;"",Expenses[[#This Row],[Monthly Amount]]/Income,"")</f>
        <v/>
      </c>
    </row>
    <row r="85" ht="24" customHeight="1">
      <c r="B85" s="31" t="n"/>
      <c r="C85" s="31" t="n"/>
      <c r="D85" s="32" t="n"/>
      <c r="E85" s="31" t="n"/>
      <c r="F8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85" s="32" t="n"/>
      <c r="H85" s="33">
        <f>IF(Expenses[[#This Row],[Monthly Amount]]&lt;&gt;"",Expenses[[#This Row],[Monthly Amount]]/Income,"")</f>
        <v/>
      </c>
    </row>
    <row r="86" ht="24" customHeight="1">
      <c r="B86" s="31" t="n"/>
      <c r="C86" s="31" t="n"/>
      <c r="D86" s="32" t="n"/>
      <c r="E86" s="31" t="n"/>
      <c r="F8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86" s="32" t="n"/>
      <c r="H86" s="33">
        <f>IF(Expenses[[#This Row],[Monthly Amount]]&lt;&gt;"",Expenses[[#This Row],[Monthly Amount]]/Income,"")</f>
        <v/>
      </c>
    </row>
    <row r="87" ht="24" customHeight="1">
      <c r="B87" s="31" t="n"/>
      <c r="C87" s="31" t="n"/>
      <c r="D87" s="32" t="n"/>
      <c r="E87" s="31" t="n"/>
      <c r="F8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87" s="32" t="n"/>
      <c r="H87" s="33">
        <f>IF(Expenses[[#This Row],[Monthly Amount]]&lt;&gt;"",Expenses[[#This Row],[Monthly Amount]]/Income,"")</f>
        <v/>
      </c>
    </row>
    <row r="88" ht="24" customHeight="1">
      <c r="B88" s="31" t="n"/>
      <c r="C88" s="31" t="n"/>
      <c r="D88" s="32" t="n"/>
      <c r="E88" s="31" t="n"/>
      <c r="F8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88" s="32" t="n"/>
      <c r="H88" s="33">
        <f>IF(Expenses[[#This Row],[Monthly Amount]]&lt;&gt;"",Expenses[[#This Row],[Monthly Amount]]/Income,"")</f>
        <v/>
      </c>
    </row>
    <row r="89" ht="24" customHeight="1">
      <c r="B89" s="31" t="n"/>
      <c r="C89" s="31" t="n"/>
      <c r="D89" s="32" t="n"/>
      <c r="E89" s="31" t="n"/>
      <c r="F8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89" s="32" t="n"/>
      <c r="H89" s="33">
        <f>IF(Expenses[[#This Row],[Monthly Amount]]&lt;&gt;"",Expenses[[#This Row],[Monthly Amount]]/Income,"")</f>
        <v/>
      </c>
    </row>
    <row r="90" ht="24" customHeight="1">
      <c r="B90" s="31" t="n"/>
      <c r="C90" s="31" t="n"/>
      <c r="D90" s="32" t="n"/>
      <c r="E90" s="31" t="n"/>
      <c r="F9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90" s="32" t="n"/>
      <c r="H90" s="33">
        <f>IF(Expenses[[#This Row],[Monthly Amount]]&lt;&gt;"",Expenses[[#This Row],[Monthly Amount]]/Income,"")</f>
        <v/>
      </c>
    </row>
    <row r="91" ht="24" customHeight="1">
      <c r="B91" s="31" t="n"/>
      <c r="C91" s="31" t="n"/>
      <c r="D91" s="32" t="n"/>
      <c r="E91" s="31" t="n"/>
      <c r="F9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91" s="32" t="n"/>
      <c r="H91" s="33">
        <f>IF(Expenses[[#This Row],[Monthly Amount]]&lt;&gt;"",Expenses[[#This Row],[Monthly Amount]]/Income,"")</f>
        <v/>
      </c>
    </row>
    <row r="92" ht="24" customHeight="1">
      <c r="B92" s="31" t="n"/>
      <c r="C92" s="31" t="n"/>
      <c r="D92" s="32" t="n"/>
      <c r="E92" s="31" t="n"/>
      <c r="F9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92" s="32" t="n"/>
      <c r="H92" s="33">
        <f>IF(Expenses[[#This Row],[Monthly Amount]]&lt;&gt;"",Expenses[[#This Row],[Monthly Amount]]/Income,"")</f>
        <v/>
      </c>
    </row>
    <row r="93" ht="24" customHeight="1">
      <c r="B93" s="31" t="n"/>
      <c r="C93" s="31" t="n"/>
      <c r="D93" s="32" t="n"/>
      <c r="E93" s="31" t="n"/>
      <c r="F9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93" s="32" t="n"/>
      <c r="H93" s="33">
        <f>IF(Expenses[[#This Row],[Monthly Amount]]&lt;&gt;"",Expenses[[#This Row],[Monthly Amount]]/Income,"")</f>
        <v/>
      </c>
    </row>
    <row r="94" ht="24" customHeight="1">
      <c r="B94" s="31" t="n"/>
      <c r="C94" s="31" t="n"/>
      <c r="D94" s="32" t="n"/>
      <c r="E94" s="31" t="n"/>
      <c r="F9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94" s="32" t="n"/>
      <c r="H94" s="33">
        <f>IF(Expenses[[#This Row],[Monthly Amount]]&lt;&gt;"",Expenses[[#This Row],[Monthly Amount]]/Income,"")</f>
        <v/>
      </c>
    </row>
    <row r="95" ht="24" customHeight="1">
      <c r="B95" s="31" t="n"/>
      <c r="C95" s="31" t="n"/>
      <c r="D95" s="32" t="n"/>
      <c r="E95" s="31" t="n"/>
      <c r="F9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95" s="32" t="n"/>
      <c r="H95" s="33">
        <f>IF(Expenses[[#This Row],[Monthly Amount]]&lt;&gt;"",Expenses[[#This Row],[Monthly Amount]]/Income,"")</f>
        <v/>
      </c>
    </row>
    <row r="96" ht="24" customHeight="1">
      <c r="B96" s="31" t="n"/>
      <c r="C96" s="31" t="n"/>
      <c r="D96" s="32" t="n"/>
      <c r="E96" s="31" t="n"/>
      <c r="F9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96" s="32" t="n"/>
      <c r="H96" s="33">
        <f>IF(Expenses[[#This Row],[Monthly Amount]]&lt;&gt;"",Expenses[[#This Row],[Monthly Amount]]/Income,"")</f>
        <v/>
      </c>
    </row>
    <row r="97" ht="24" customHeight="1">
      <c r="B97" s="31" t="n"/>
      <c r="C97" s="31" t="n"/>
      <c r="D97" s="32" t="n"/>
      <c r="E97" s="31" t="n"/>
      <c r="F9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97" s="32" t="n"/>
      <c r="H97" s="33">
        <f>IF(Expenses[[#This Row],[Monthly Amount]]&lt;&gt;"",Expenses[[#This Row],[Monthly Amount]]/Income,"")</f>
        <v/>
      </c>
    </row>
    <row r="98" ht="24" customHeight="1">
      <c r="B98" s="31" t="n"/>
      <c r="C98" s="31" t="n"/>
      <c r="D98" s="32" t="n"/>
      <c r="E98" s="31" t="n"/>
      <c r="F9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98" s="32" t="n"/>
      <c r="H98" s="33">
        <f>IF(Expenses[[#This Row],[Monthly Amount]]&lt;&gt;"",Expenses[[#This Row],[Monthly Amount]]/Income,"")</f>
        <v/>
      </c>
    </row>
    <row r="99" ht="24" customHeight="1">
      <c r="B99" s="31" t="n"/>
      <c r="C99" s="31" t="n"/>
      <c r="D99" s="32" t="n"/>
      <c r="E99" s="31" t="n"/>
      <c r="F9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99" s="32" t="n"/>
      <c r="H99" s="33">
        <f>IF(Expenses[[#This Row],[Monthly Amount]]&lt;&gt;"",Expenses[[#This Row],[Monthly Amount]]/Income,"")</f>
        <v/>
      </c>
    </row>
    <row r="100" ht="24" customHeight="1">
      <c r="B100" s="31" t="n"/>
      <c r="C100" s="31" t="n"/>
      <c r="D100" s="32" t="n"/>
      <c r="E100" s="31" t="n"/>
      <c r="F10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00" s="32" t="n"/>
      <c r="H100" s="33">
        <f>IF(Expenses[[#This Row],[Monthly Amount]]&lt;&gt;"",Expenses[[#This Row],[Monthly Amount]]/Income,"")</f>
        <v/>
      </c>
    </row>
    <row r="101" ht="24" customHeight="1">
      <c r="B101" s="31" t="n"/>
      <c r="C101" s="31" t="n"/>
      <c r="D101" s="32" t="n"/>
      <c r="E101" s="31" t="n"/>
      <c r="F10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01" s="32" t="n"/>
      <c r="H101" s="33">
        <f>IF(Expenses[[#This Row],[Monthly Amount]]&lt;&gt;"",Expenses[[#This Row],[Monthly Amount]]/Income,"")</f>
        <v/>
      </c>
    </row>
    <row r="102" ht="24" customHeight="1">
      <c r="B102" s="31" t="n"/>
      <c r="C102" s="31" t="n"/>
      <c r="D102" s="32" t="n"/>
      <c r="E102" s="31" t="n"/>
      <c r="F10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02" s="32" t="n"/>
      <c r="H102" s="33">
        <f>IF(Expenses[[#This Row],[Monthly Amount]]&lt;&gt;"",Expenses[[#This Row],[Monthly Amount]]/Income,"")</f>
        <v/>
      </c>
    </row>
    <row r="103" ht="24" customHeight="1">
      <c r="B103" s="31" t="n"/>
      <c r="C103" s="31" t="n"/>
      <c r="D103" s="32" t="n"/>
      <c r="E103" s="31" t="n"/>
      <c r="F10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03" s="32" t="n"/>
      <c r="H103" s="33">
        <f>IF(Expenses[[#This Row],[Monthly Amount]]&lt;&gt;"",Expenses[[#This Row],[Monthly Amount]]/Income,"")</f>
        <v/>
      </c>
    </row>
    <row r="104" ht="24" customHeight="1">
      <c r="B104" s="31" t="n"/>
      <c r="C104" s="31" t="n"/>
      <c r="D104" s="32" t="n"/>
      <c r="E104" s="31" t="n"/>
      <c r="F10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04" s="32" t="n"/>
      <c r="H104" s="33">
        <f>IF(Expenses[[#This Row],[Monthly Amount]]&lt;&gt;"",Expenses[[#This Row],[Monthly Amount]]/Income,"")</f>
        <v/>
      </c>
    </row>
    <row r="105" ht="24" customHeight="1">
      <c r="B105" s="31" t="n"/>
      <c r="C105" s="31" t="n"/>
      <c r="D105" s="32" t="n"/>
      <c r="E105" s="31" t="n"/>
      <c r="F10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05" s="32" t="n"/>
      <c r="H105" s="33">
        <f>IF(Expenses[[#This Row],[Monthly Amount]]&lt;&gt;"",Expenses[[#This Row],[Monthly Amount]]/Income,"")</f>
        <v/>
      </c>
    </row>
    <row r="106" ht="24" customHeight="1">
      <c r="B106" s="31" t="n"/>
      <c r="C106" s="31" t="n"/>
      <c r="D106" s="32" t="n"/>
      <c r="E106" s="31" t="n"/>
      <c r="F10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06" s="32" t="n"/>
      <c r="H106" s="33">
        <f>IF(Expenses[[#This Row],[Monthly Amount]]&lt;&gt;"",Expenses[[#This Row],[Monthly Amount]]/Income,"")</f>
        <v/>
      </c>
    </row>
    <row r="107" ht="24" customHeight="1">
      <c r="B107" s="31" t="n"/>
      <c r="C107" s="31" t="n"/>
      <c r="D107" s="32" t="n"/>
      <c r="E107" s="31" t="n"/>
      <c r="F10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07" s="32" t="n"/>
      <c r="H107" s="33">
        <f>IF(Expenses[[#This Row],[Monthly Amount]]&lt;&gt;"",Expenses[[#This Row],[Monthly Amount]]/Income,"")</f>
        <v/>
      </c>
    </row>
    <row r="108" ht="24" customHeight="1">
      <c r="B108" s="31" t="n"/>
      <c r="C108" s="31" t="n"/>
      <c r="D108" s="32" t="n"/>
      <c r="E108" s="31" t="n"/>
      <c r="F10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08" s="32" t="n"/>
      <c r="H108" s="33">
        <f>IF(Expenses[[#This Row],[Monthly Amount]]&lt;&gt;"",Expenses[[#This Row],[Monthly Amount]]/Income,"")</f>
        <v/>
      </c>
    </row>
    <row r="109" ht="24" customHeight="1">
      <c r="B109" s="31" t="n"/>
      <c r="C109" s="31" t="n"/>
      <c r="D109" s="32" t="n"/>
      <c r="E109" s="31" t="n"/>
      <c r="F10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09" s="32" t="n"/>
      <c r="H109" s="33">
        <f>IF(Expenses[[#This Row],[Monthly Amount]]&lt;&gt;"",Expenses[[#This Row],[Monthly Amount]]/Income,"")</f>
        <v/>
      </c>
    </row>
    <row r="110" ht="24" customHeight="1">
      <c r="B110" s="31" t="n"/>
      <c r="C110" s="31" t="n"/>
      <c r="D110" s="32" t="n"/>
      <c r="E110" s="31" t="n"/>
      <c r="F11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10" s="32" t="n"/>
      <c r="H110" s="33">
        <f>IF(Expenses[[#This Row],[Monthly Amount]]&lt;&gt;"",Expenses[[#This Row],[Monthly Amount]]/Income,"")</f>
        <v/>
      </c>
    </row>
    <row r="111" ht="24" customHeight="1">
      <c r="B111" s="31" t="n"/>
      <c r="C111" s="31" t="n"/>
      <c r="D111" s="32" t="n"/>
      <c r="E111" s="31" t="n"/>
      <c r="F11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11" s="32" t="n"/>
      <c r="H111" s="33">
        <f>IF(Expenses[[#This Row],[Monthly Amount]]&lt;&gt;"",Expenses[[#This Row],[Monthly Amount]]/Income,"")</f>
        <v/>
      </c>
    </row>
    <row r="112" ht="24" customHeight="1">
      <c r="B112" s="31" t="n"/>
      <c r="C112" s="31" t="n"/>
      <c r="D112" s="32" t="n"/>
      <c r="E112" s="31" t="n"/>
      <c r="F11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12" s="32" t="n"/>
      <c r="H112" s="33">
        <f>IF(Expenses[[#This Row],[Monthly Amount]]&lt;&gt;"",Expenses[[#This Row],[Monthly Amount]]/Income,"")</f>
        <v/>
      </c>
    </row>
    <row r="113" ht="24" customHeight="1">
      <c r="B113" s="31" t="n"/>
      <c r="C113" s="31" t="n"/>
      <c r="D113" s="32" t="n"/>
      <c r="E113" s="31" t="n"/>
      <c r="F11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13" s="32" t="n"/>
      <c r="H113" s="33">
        <f>IF(Expenses[[#This Row],[Monthly Amount]]&lt;&gt;"",Expenses[[#This Row],[Monthly Amount]]/Income,"")</f>
        <v/>
      </c>
    </row>
    <row r="114" ht="24" customHeight="1">
      <c r="B114" s="31" t="n"/>
      <c r="C114" s="31" t="n"/>
      <c r="D114" s="32" t="n"/>
      <c r="E114" s="31" t="n"/>
      <c r="F11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14" s="32" t="n"/>
      <c r="H114" s="33">
        <f>IF(Expenses[[#This Row],[Monthly Amount]]&lt;&gt;"",Expenses[[#This Row],[Monthly Amount]]/Income,"")</f>
        <v/>
      </c>
    </row>
    <row r="115" ht="24" customHeight="1">
      <c r="B115" s="31" t="n"/>
      <c r="C115" s="31" t="n"/>
      <c r="D115" s="32" t="n"/>
      <c r="E115" s="31" t="n"/>
      <c r="F11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15" s="32" t="n"/>
      <c r="H115" s="33">
        <f>IF(Expenses[[#This Row],[Monthly Amount]]&lt;&gt;"",Expenses[[#This Row],[Monthly Amount]]/Income,"")</f>
        <v/>
      </c>
    </row>
    <row r="116" ht="24" customHeight="1">
      <c r="B116" s="31" t="n"/>
      <c r="C116" s="31" t="n"/>
      <c r="D116" s="32" t="n"/>
      <c r="E116" s="31" t="n"/>
      <c r="F11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16" s="32" t="n"/>
      <c r="H116" s="33">
        <f>IF(Expenses[[#This Row],[Monthly Amount]]&lt;&gt;"",Expenses[[#This Row],[Monthly Amount]]/Income,"")</f>
        <v/>
      </c>
    </row>
    <row r="117" ht="24" customHeight="1">
      <c r="B117" s="31" t="n"/>
      <c r="C117" s="31" t="n"/>
      <c r="D117" s="32" t="n"/>
      <c r="E117" s="31" t="n"/>
      <c r="F11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17" s="32" t="n"/>
      <c r="H117" s="33">
        <f>IF(Expenses[[#This Row],[Monthly Amount]]&lt;&gt;"",Expenses[[#This Row],[Monthly Amount]]/Income,"")</f>
        <v/>
      </c>
    </row>
    <row r="118" ht="24" customHeight="1">
      <c r="B118" s="31" t="n"/>
      <c r="C118" s="31" t="n"/>
      <c r="D118" s="32" t="n"/>
      <c r="E118" s="31" t="n"/>
      <c r="F11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18" s="32" t="n"/>
      <c r="H118" s="33">
        <f>IF(Expenses[[#This Row],[Monthly Amount]]&lt;&gt;"",Expenses[[#This Row],[Monthly Amount]]/Income,"")</f>
        <v/>
      </c>
    </row>
    <row r="119" ht="24" customHeight="1">
      <c r="B119" s="31" t="n"/>
      <c r="C119" s="31" t="n"/>
      <c r="D119" s="32" t="n"/>
      <c r="E119" s="31" t="n"/>
      <c r="F11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19" s="32" t="n"/>
      <c r="H119" s="33">
        <f>IF(Expenses[[#This Row],[Monthly Amount]]&lt;&gt;"",Expenses[[#This Row],[Monthly Amount]]/Income,"")</f>
        <v/>
      </c>
    </row>
    <row r="120" ht="24" customHeight="1">
      <c r="B120" s="31" t="n"/>
      <c r="C120" s="31" t="n"/>
      <c r="D120" s="32" t="n"/>
      <c r="E120" s="31" t="n"/>
      <c r="F12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20" s="32" t="n"/>
      <c r="H120" s="33">
        <f>IF(Expenses[[#This Row],[Monthly Amount]]&lt;&gt;"",Expenses[[#This Row],[Monthly Amount]]/Income,"")</f>
        <v/>
      </c>
    </row>
    <row r="121" ht="24" customHeight="1">
      <c r="B121" s="31" t="n"/>
      <c r="C121" s="31" t="n"/>
      <c r="D121" s="32" t="n"/>
      <c r="E121" s="31" t="n"/>
      <c r="F12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21" s="32" t="n"/>
      <c r="H121" s="33">
        <f>IF(Expenses[[#This Row],[Monthly Amount]]&lt;&gt;"",Expenses[[#This Row],[Monthly Amount]]/Income,"")</f>
        <v/>
      </c>
    </row>
    <row r="122" ht="24" customHeight="1">
      <c r="B122" s="31" t="n"/>
      <c r="C122" s="31" t="n"/>
      <c r="D122" s="32" t="n"/>
      <c r="E122" s="31" t="n"/>
      <c r="F12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22" s="32" t="n"/>
      <c r="H122" s="33">
        <f>IF(Expenses[[#This Row],[Monthly Amount]]&lt;&gt;"",Expenses[[#This Row],[Monthly Amount]]/Income,"")</f>
        <v/>
      </c>
    </row>
    <row r="123" ht="24" customHeight="1">
      <c r="B123" s="31" t="n"/>
      <c r="C123" s="31" t="n"/>
      <c r="D123" s="32" t="n"/>
      <c r="E123" s="31" t="n"/>
      <c r="F12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23" s="32" t="n"/>
      <c r="H123" s="33">
        <f>IF(Expenses[[#This Row],[Monthly Amount]]&lt;&gt;"",Expenses[[#This Row],[Monthly Amount]]/Income,"")</f>
        <v/>
      </c>
    </row>
    <row r="124" ht="24" customHeight="1">
      <c r="B124" s="31" t="n"/>
      <c r="C124" s="31" t="n"/>
      <c r="D124" s="32" t="n"/>
      <c r="E124" s="31" t="n"/>
      <c r="F12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24" s="32" t="n"/>
      <c r="H124" s="33">
        <f>IF(Expenses[[#This Row],[Monthly Amount]]&lt;&gt;"",Expenses[[#This Row],[Monthly Amount]]/Income,"")</f>
        <v/>
      </c>
    </row>
    <row r="125" ht="24" customHeight="1">
      <c r="B125" s="31" t="n"/>
      <c r="C125" s="31" t="n"/>
      <c r="D125" s="32" t="n"/>
      <c r="E125" s="31" t="n"/>
      <c r="F12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25" s="32" t="n"/>
      <c r="H125" s="33">
        <f>IF(Expenses[[#This Row],[Monthly Amount]]&lt;&gt;"",Expenses[[#This Row],[Monthly Amount]]/Income,"")</f>
        <v/>
      </c>
    </row>
    <row r="126" ht="24" customHeight="1">
      <c r="B126" s="31" t="n"/>
      <c r="C126" s="31" t="n"/>
      <c r="D126" s="32" t="n"/>
      <c r="E126" s="31" t="n"/>
      <c r="F12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26" s="32" t="n"/>
      <c r="H126" s="33">
        <f>IF(Expenses[[#This Row],[Monthly Amount]]&lt;&gt;"",Expenses[[#This Row],[Monthly Amount]]/Income,"")</f>
        <v/>
      </c>
    </row>
    <row r="127" ht="24" customHeight="1">
      <c r="B127" s="31" t="n"/>
      <c r="C127" s="31" t="n"/>
      <c r="D127" s="32" t="n"/>
      <c r="E127" s="31" t="n"/>
      <c r="F12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27" s="32" t="n"/>
      <c r="H127" s="33">
        <f>IF(Expenses[[#This Row],[Monthly Amount]]&lt;&gt;"",Expenses[[#This Row],[Monthly Amount]]/Income,"")</f>
        <v/>
      </c>
    </row>
    <row r="128" ht="24" customHeight="1">
      <c r="B128" s="31" t="n"/>
      <c r="C128" s="31" t="n"/>
      <c r="D128" s="32" t="n"/>
      <c r="E128" s="31" t="n"/>
      <c r="F12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28" s="32" t="n"/>
      <c r="H128" s="33">
        <f>IF(Expenses[[#This Row],[Monthly Amount]]&lt;&gt;"",Expenses[[#This Row],[Monthly Amount]]/Income,"")</f>
        <v/>
      </c>
    </row>
    <row r="129" ht="24" customHeight="1">
      <c r="B129" s="31" t="n"/>
      <c r="C129" s="31" t="n"/>
      <c r="D129" s="32" t="n"/>
      <c r="E129" s="31" t="n"/>
      <c r="F12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29" s="32" t="n"/>
      <c r="H129" s="33">
        <f>IF(Expenses[[#This Row],[Monthly Amount]]&lt;&gt;"",Expenses[[#This Row],[Monthly Amount]]/Income,"")</f>
        <v/>
      </c>
    </row>
    <row r="130" ht="24" customHeight="1">
      <c r="B130" s="31" t="n"/>
      <c r="C130" s="31" t="n"/>
      <c r="D130" s="32" t="n"/>
      <c r="E130" s="31" t="n"/>
      <c r="F13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30" s="32" t="n"/>
      <c r="H130" s="33">
        <f>IF(Expenses[[#This Row],[Monthly Amount]]&lt;&gt;"",Expenses[[#This Row],[Monthly Amount]]/Income,"")</f>
        <v/>
      </c>
    </row>
    <row r="131" ht="24" customHeight="1">
      <c r="B131" s="31" t="n"/>
      <c r="C131" s="31" t="n"/>
      <c r="D131" s="32" t="n"/>
      <c r="E131" s="31" t="n"/>
      <c r="F13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31" s="32" t="n"/>
      <c r="H131" s="33">
        <f>IF(Expenses[[#This Row],[Monthly Amount]]&lt;&gt;"",Expenses[[#This Row],[Monthly Amount]]/Income,"")</f>
        <v/>
      </c>
    </row>
    <row r="132" ht="24" customHeight="1">
      <c r="B132" s="31" t="n"/>
      <c r="C132" s="31" t="n"/>
      <c r="D132" s="32" t="n"/>
      <c r="E132" s="31" t="n"/>
      <c r="F13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32" s="32" t="n"/>
      <c r="H132" s="33">
        <f>IF(Expenses[[#This Row],[Monthly Amount]]&lt;&gt;"",Expenses[[#This Row],[Monthly Amount]]/Income,"")</f>
        <v/>
      </c>
    </row>
    <row r="133" ht="24" customHeight="1">
      <c r="B133" s="31" t="n"/>
      <c r="C133" s="31" t="n"/>
      <c r="D133" s="32" t="n"/>
      <c r="E133" s="31" t="n"/>
      <c r="F13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33" s="32" t="n"/>
      <c r="H133" s="33">
        <f>IF(Expenses[[#This Row],[Monthly Amount]]&lt;&gt;"",Expenses[[#This Row],[Monthly Amount]]/Income,"")</f>
        <v/>
      </c>
    </row>
    <row r="134" ht="24" customHeight="1">
      <c r="B134" s="31" t="n"/>
      <c r="C134" s="31" t="n"/>
      <c r="D134" s="32" t="n"/>
      <c r="E134" s="31" t="n"/>
      <c r="F13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34" s="32" t="n"/>
      <c r="H134" s="33">
        <f>IF(Expenses[[#This Row],[Monthly Amount]]&lt;&gt;"",Expenses[[#This Row],[Monthly Amount]]/Income,"")</f>
        <v/>
      </c>
    </row>
    <row r="135" ht="24" customHeight="1">
      <c r="B135" s="31" t="n"/>
      <c r="C135" s="31" t="n"/>
      <c r="D135" s="32" t="n"/>
      <c r="E135" s="31" t="n"/>
      <c r="F13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35" s="32" t="n"/>
      <c r="H135" s="33">
        <f>IF(Expenses[[#This Row],[Monthly Amount]]&lt;&gt;"",Expenses[[#This Row],[Monthly Amount]]/Income,"")</f>
        <v/>
      </c>
    </row>
    <row r="136" ht="24" customHeight="1">
      <c r="B136" s="31" t="n"/>
      <c r="C136" s="31" t="n"/>
      <c r="D136" s="32" t="n"/>
      <c r="E136" s="31" t="n"/>
      <c r="F13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36" s="32" t="n"/>
      <c r="H136" s="33">
        <f>IF(Expenses[[#This Row],[Monthly Amount]]&lt;&gt;"",Expenses[[#This Row],[Monthly Amount]]/Income,"")</f>
        <v/>
      </c>
    </row>
    <row r="137" ht="24" customHeight="1">
      <c r="B137" s="31" t="n"/>
      <c r="C137" s="31" t="n"/>
      <c r="D137" s="32" t="n"/>
      <c r="E137" s="31" t="n"/>
      <c r="F13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37" s="32" t="n"/>
      <c r="H137" s="33">
        <f>IF(Expenses[[#This Row],[Monthly Amount]]&lt;&gt;"",Expenses[[#This Row],[Monthly Amount]]/Income,"")</f>
        <v/>
      </c>
    </row>
    <row r="138" ht="24" customHeight="1">
      <c r="B138" s="31" t="n"/>
      <c r="C138" s="31" t="n"/>
      <c r="D138" s="32" t="n"/>
      <c r="E138" s="31" t="n"/>
      <c r="F13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38" s="32" t="n"/>
      <c r="H138" s="33">
        <f>IF(Expenses[[#This Row],[Monthly Amount]]&lt;&gt;"",Expenses[[#This Row],[Monthly Amount]]/Income,"")</f>
        <v/>
      </c>
    </row>
    <row r="139" ht="24" customHeight="1">
      <c r="B139" s="31" t="n"/>
      <c r="C139" s="31" t="n"/>
      <c r="D139" s="32" t="n"/>
      <c r="E139" s="31" t="n"/>
      <c r="F13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39" s="32" t="n"/>
      <c r="H139" s="33">
        <f>IF(Expenses[[#This Row],[Monthly Amount]]&lt;&gt;"",Expenses[[#This Row],[Monthly Amount]]/Income,"")</f>
        <v/>
      </c>
    </row>
    <row r="140" ht="24" customHeight="1">
      <c r="B140" s="31" t="n"/>
      <c r="C140" s="31" t="n"/>
      <c r="D140" s="32" t="n"/>
      <c r="E140" s="31" t="n"/>
      <c r="F14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40" s="32" t="n"/>
      <c r="H140" s="33">
        <f>IF(Expenses[[#This Row],[Monthly Amount]]&lt;&gt;"",Expenses[[#This Row],[Monthly Amount]]/Income,"")</f>
        <v/>
      </c>
    </row>
    <row r="141" ht="24" customHeight="1">
      <c r="B141" s="31" t="n"/>
      <c r="C141" s="31" t="n"/>
      <c r="D141" s="32" t="n"/>
      <c r="E141" s="31" t="n"/>
      <c r="F14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41" s="32" t="n"/>
      <c r="H141" s="33">
        <f>IF(Expenses[[#This Row],[Monthly Amount]]&lt;&gt;"",Expenses[[#This Row],[Monthly Amount]]/Income,"")</f>
        <v/>
      </c>
    </row>
    <row r="142" ht="24" customHeight="1">
      <c r="B142" s="31" t="n"/>
      <c r="C142" s="31" t="n"/>
      <c r="D142" s="32" t="n"/>
      <c r="E142" s="31" t="n"/>
      <c r="F14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42" s="32" t="n"/>
      <c r="H142" s="33">
        <f>IF(Expenses[[#This Row],[Monthly Amount]]&lt;&gt;"",Expenses[[#This Row],[Monthly Amount]]/Income,"")</f>
        <v/>
      </c>
    </row>
    <row r="143" ht="24" customHeight="1">
      <c r="B143" s="31" t="n"/>
      <c r="C143" s="31" t="n"/>
      <c r="D143" s="32" t="n"/>
      <c r="E143" s="31" t="n"/>
      <c r="F14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43" s="32" t="n"/>
      <c r="H143" s="33">
        <f>IF(Expenses[[#This Row],[Monthly Amount]]&lt;&gt;"",Expenses[[#This Row],[Monthly Amount]]/Income,"")</f>
        <v/>
      </c>
    </row>
    <row r="144" ht="24" customHeight="1">
      <c r="B144" s="31" t="n"/>
      <c r="C144" s="31" t="n"/>
      <c r="D144" s="32" t="n"/>
      <c r="E144" s="31" t="n"/>
      <c r="F14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44" s="32" t="n"/>
      <c r="H144" s="33">
        <f>IF(Expenses[[#This Row],[Monthly Amount]]&lt;&gt;"",Expenses[[#This Row],[Monthly Amount]]/Income,"")</f>
        <v/>
      </c>
    </row>
    <row r="145" ht="24" customHeight="1">
      <c r="B145" s="31" t="n"/>
      <c r="C145" s="31" t="n"/>
      <c r="D145" s="32" t="n"/>
      <c r="E145" s="31" t="n"/>
      <c r="F14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45" s="32" t="n"/>
      <c r="H145" s="33">
        <f>IF(Expenses[[#This Row],[Monthly Amount]]&lt;&gt;"",Expenses[[#This Row],[Monthly Amount]]/Income,"")</f>
        <v/>
      </c>
    </row>
    <row r="146" ht="24" customHeight="1">
      <c r="B146" s="31" t="n"/>
      <c r="C146" s="31" t="n"/>
      <c r="D146" s="32" t="n"/>
      <c r="E146" s="31" t="n"/>
      <c r="F14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46" s="32" t="n"/>
      <c r="H146" s="33">
        <f>IF(Expenses[[#This Row],[Monthly Amount]]&lt;&gt;"",Expenses[[#This Row],[Monthly Amount]]/Income,"")</f>
        <v/>
      </c>
    </row>
    <row r="147" ht="24" customHeight="1">
      <c r="B147" s="31" t="n"/>
      <c r="C147" s="31" t="n"/>
      <c r="D147" s="32" t="n"/>
      <c r="E147" s="31" t="n"/>
      <c r="F14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47" s="32" t="n"/>
      <c r="H147" s="33">
        <f>IF(Expenses[[#This Row],[Monthly Amount]]&lt;&gt;"",Expenses[[#This Row],[Monthly Amount]]/Income,"")</f>
        <v/>
      </c>
    </row>
    <row r="148" ht="24" customHeight="1">
      <c r="B148" s="31" t="n"/>
      <c r="C148" s="31" t="n"/>
      <c r="D148" s="32" t="n"/>
      <c r="E148" s="31" t="n"/>
      <c r="F14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48" s="32" t="n"/>
      <c r="H148" s="33">
        <f>IF(Expenses[[#This Row],[Monthly Amount]]&lt;&gt;"",Expenses[[#This Row],[Monthly Amount]]/Income,"")</f>
        <v/>
      </c>
    </row>
    <row r="149" ht="24" customHeight="1">
      <c r="B149" s="31" t="n"/>
      <c r="C149" s="31" t="n"/>
      <c r="D149" s="32" t="n"/>
      <c r="E149" s="31" t="n"/>
      <c r="F14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49" s="32" t="n"/>
      <c r="H149" s="33">
        <f>IF(Expenses[[#This Row],[Monthly Amount]]&lt;&gt;"",Expenses[[#This Row],[Monthly Amount]]/Income,"")</f>
        <v/>
      </c>
    </row>
    <row r="150" ht="24" customHeight="1">
      <c r="B150" s="31" t="n"/>
      <c r="C150" s="31" t="n"/>
      <c r="D150" s="32" t="n"/>
      <c r="E150" s="31" t="n"/>
      <c r="F15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50" s="32" t="n"/>
      <c r="H150" s="33">
        <f>IF(Expenses[[#This Row],[Monthly Amount]]&lt;&gt;"",Expenses[[#This Row],[Monthly Amount]]/Income,"")</f>
        <v/>
      </c>
    </row>
    <row r="151" ht="24" customHeight="1">
      <c r="B151" s="31" t="n"/>
      <c r="C151" s="31" t="n"/>
      <c r="D151" s="32" t="n"/>
      <c r="E151" s="31" t="n"/>
      <c r="F15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51" s="32" t="n"/>
      <c r="H151" s="33">
        <f>IF(Expenses[[#This Row],[Monthly Amount]]&lt;&gt;"",Expenses[[#This Row],[Monthly Amount]]/Income,"")</f>
        <v/>
      </c>
    </row>
    <row r="152" ht="24" customHeight="1">
      <c r="B152" s="31" t="n"/>
      <c r="C152" s="31" t="n"/>
      <c r="D152" s="32" t="n"/>
      <c r="E152" s="31" t="n"/>
      <c r="F15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52" s="32" t="n"/>
      <c r="H152" s="33">
        <f>IF(Expenses[[#This Row],[Monthly Amount]]&lt;&gt;"",Expenses[[#This Row],[Monthly Amount]]/Income,"")</f>
        <v/>
      </c>
    </row>
    <row r="153" ht="24" customHeight="1">
      <c r="B153" s="31" t="n"/>
      <c r="C153" s="31" t="n"/>
      <c r="D153" s="32" t="n"/>
      <c r="E153" s="31" t="n"/>
      <c r="F15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53" s="32" t="n"/>
      <c r="H153" s="33">
        <f>IF(Expenses[[#This Row],[Monthly Amount]]&lt;&gt;"",Expenses[[#This Row],[Monthly Amount]]/Income,"")</f>
        <v/>
      </c>
    </row>
    <row r="154" ht="24" customHeight="1">
      <c r="B154" s="31" t="n"/>
      <c r="C154" s="31" t="n"/>
      <c r="D154" s="32" t="n"/>
      <c r="E154" s="31" t="n"/>
      <c r="F15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54" s="32" t="n"/>
      <c r="H154" s="33">
        <f>IF(Expenses[[#This Row],[Monthly Amount]]&lt;&gt;"",Expenses[[#This Row],[Monthly Amount]]/Income,"")</f>
        <v/>
      </c>
    </row>
    <row r="155" ht="24" customHeight="1">
      <c r="B155" s="31" t="n"/>
      <c r="C155" s="31" t="n"/>
      <c r="D155" s="32" t="n"/>
      <c r="E155" s="31" t="n"/>
      <c r="F15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55" s="32" t="n"/>
      <c r="H155" s="33">
        <f>IF(Expenses[[#This Row],[Monthly Amount]]&lt;&gt;"",Expenses[[#This Row],[Monthly Amount]]/Income,"")</f>
        <v/>
      </c>
    </row>
    <row r="156" ht="24" customHeight="1">
      <c r="B156" s="31" t="n"/>
      <c r="C156" s="31" t="n"/>
      <c r="D156" s="32" t="n"/>
      <c r="E156" s="31" t="n"/>
      <c r="F15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56" s="32" t="n"/>
      <c r="H156" s="33">
        <f>IF(Expenses[[#This Row],[Monthly Amount]]&lt;&gt;"",Expenses[[#This Row],[Monthly Amount]]/Income,"")</f>
        <v/>
      </c>
    </row>
    <row r="157" ht="24" customHeight="1">
      <c r="B157" s="31" t="n"/>
      <c r="C157" s="31" t="n"/>
      <c r="D157" s="32" t="n"/>
      <c r="E157" s="31" t="n"/>
      <c r="F15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57" s="32" t="n"/>
      <c r="H157" s="33">
        <f>IF(Expenses[[#This Row],[Monthly Amount]]&lt;&gt;"",Expenses[[#This Row],[Monthly Amount]]/Income,"")</f>
        <v/>
      </c>
    </row>
    <row r="158" ht="24" customHeight="1">
      <c r="B158" s="31" t="n"/>
      <c r="C158" s="31" t="n"/>
      <c r="D158" s="32" t="n"/>
      <c r="E158" s="31" t="n"/>
      <c r="F15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58" s="32" t="n"/>
      <c r="H158" s="33">
        <f>IF(Expenses[[#This Row],[Monthly Amount]]&lt;&gt;"",Expenses[[#This Row],[Monthly Amount]]/Income,"")</f>
        <v/>
      </c>
    </row>
    <row r="159" ht="24" customHeight="1">
      <c r="B159" s="31" t="n"/>
      <c r="C159" s="31" t="n"/>
      <c r="D159" s="32" t="n"/>
      <c r="E159" s="31" t="n"/>
      <c r="F15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59" s="32" t="n"/>
      <c r="H159" s="33">
        <f>IF(Expenses[[#This Row],[Monthly Amount]]&lt;&gt;"",Expenses[[#This Row],[Monthly Amount]]/Income,"")</f>
        <v/>
      </c>
    </row>
    <row r="160" ht="24" customHeight="1">
      <c r="B160" s="31" t="n"/>
      <c r="C160" s="31" t="n"/>
      <c r="D160" s="32" t="n"/>
      <c r="E160" s="31" t="n"/>
      <c r="F16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60" s="32" t="n"/>
      <c r="H160" s="33">
        <f>IF(Expenses[[#This Row],[Monthly Amount]]&lt;&gt;"",Expenses[[#This Row],[Monthly Amount]]/Income,"")</f>
        <v/>
      </c>
    </row>
    <row r="161" ht="24" customHeight="1">
      <c r="B161" s="31" t="n"/>
      <c r="C161" s="31" t="n"/>
      <c r="D161" s="32" t="n"/>
      <c r="E161" s="31" t="n"/>
      <c r="F16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61" s="32" t="n"/>
      <c r="H161" s="33">
        <f>IF(Expenses[[#This Row],[Monthly Amount]]&lt;&gt;"",Expenses[[#This Row],[Monthly Amount]]/Income,"")</f>
        <v/>
      </c>
    </row>
    <row r="162" ht="24" customHeight="1">
      <c r="B162" s="31" t="n"/>
      <c r="C162" s="31" t="n"/>
      <c r="D162" s="32" t="n"/>
      <c r="E162" s="31" t="n"/>
      <c r="F16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62" s="32" t="n"/>
      <c r="H162" s="33">
        <f>IF(Expenses[[#This Row],[Monthly Amount]]&lt;&gt;"",Expenses[[#This Row],[Monthly Amount]]/Income,"")</f>
        <v/>
      </c>
    </row>
    <row r="163" ht="24" customHeight="1">
      <c r="B163" s="31" t="n"/>
      <c r="C163" s="31" t="n"/>
      <c r="D163" s="32" t="n"/>
      <c r="E163" s="31" t="n"/>
      <c r="F16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63" s="32" t="n"/>
      <c r="H163" s="33">
        <f>IF(Expenses[[#This Row],[Monthly Amount]]&lt;&gt;"",Expenses[[#This Row],[Monthly Amount]]/Income,"")</f>
        <v/>
      </c>
    </row>
    <row r="164" ht="24" customHeight="1">
      <c r="B164" s="31" t="n"/>
      <c r="C164" s="31" t="n"/>
      <c r="D164" s="32" t="n"/>
      <c r="E164" s="31" t="n"/>
      <c r="F16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64" s="32" t="n"/>
      <c r="H164" s="33">
        <f>IF(Expenses[[#This Row],[Monthly Amount]]&lt;&gt;"",Expenses[[#This Row],[Monthly Amount]]/Income,"")</f>
        <v/>
      </c>
    </row>
    <row r="165" ht="24" customHeight="1">
      <c r="B165" s="31" t="n"/>
      <c r="C165" s="31" t="n"/>
      <c r="D165" s="32" t="n"/>
      <c r="E165" s="31" t="n"/>
      <c r="F16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65" s="32" t="n"/>
      <c r="H165" s="33">
        <f>IF(Expenses[[#This Row],[Monthly Amount]]&lt;&gt;"",Expenses[[#This Row],[Monthly Amount]]/Income,"")</f>
        <v/>
      </c>
    </row>
    <row r="166" ht="24" customHeight="1">
      <c r="B166" s="31" t="n"/>
      <c r="C166" s="31" t="n"/>
      <c r="D166" s="32" t="n"/>
      <c r="E166" s="31" t="n"/>
      <c r="F16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66" s="32" t="n"/>
      <c r="H166" s="33">
        <f>IF(Expenses[[#This Row],[Monthly Amount]]&lt;&gt;"",Expenses[[#This Row],[Monthly Amount]]/Income,"")</f>
        <v/>
      </c>
    </row>
    <row r="167" ht="24" customHeight="1">
      <c r="B167" s="31" t="n"/>
      <c r="C167" s="31" t="n"/>
      <c r="D167" s="32" t="n"/>
      <c r="E167" s="31" t="n"/>
      <c r="F16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67" s="32" t="n"/>
      <c r="H167" s="33">
        <f>IF(Expenses[[#This Row],[Monthly Amount]]&lt;&gt;"",Expenses[[#This Row],[Monthly Amount]]/Income,"")</f>
        <v/>
      </c>
    </row>
    <row r="168" ht="24" customHeight="1">
      <c r="B168" s="31" t="n"/>
      <c r="C168" s="31" t="n"/>
      <c r="D168" s="32" t="n"/>
      <c r="E168" s="31" t="n"/>
      <c r="F16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68" s="32" t="n"/>
      <c r="H168" s="33">
        <f>IF(Expenses[[#This Row],[Monthly Amount]]&lt;&gt;"",Expenses[[#This Row],[Monthly Amount]]/Income,"")</f>
        <v/>
      </c>
    </row>
    <row r="169" ht="24" customHeight="1">
      <c r="B169" s="31" t="n"/>
      <c r="C169" s="31" t="n"/>
      <c r="D169" s="32" t="n"/>
      <c r="E169" s="31" t="n"/>
      <c r="F16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69" s="32" t="n"/>
      <c r="H169" s="33">
        <f>IF(Expenses[[#This Row],[Monthly Amount]]&lt;&gt;"",Expenses[[#This Row],[Monthly Amount]]/Income,"")</f>
        <v/>
      </c>
    </row>
    <row r="170" ht="24" customHeight="1">
      <c r="B170" s="31" t="n"/>
      <c r="C170" s="31" t="n"/>
      <c r="D170" s="32" t="n"/>
      <c r="E170" s="31" t="n"/>
      <c r="F17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70" s="32" t="n"/>
      <c r="H170" s="33">
        <f>IF(Expenses[[#This Row],[Monthly Amount]]&lt;&gt;"",Expenses[[#This Row],[Monthly Amount]]/Income,"")</f>
        <v/>
      </c>
    </row>
    <row r="171" ht="24" customHeight="1">
      <c r="B171" s="31" t="n"/>
      <c r="C171" s="31" t="n"/>
      <c r="D171" s="32" t="n"/>
      <c r="E171" s="31" t="n"/>
      <c r="F17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71" s="32" t="n"/>
      <c r="H171" s="33">
        <f>IF(Expenses[[#This Row],[Monthly Amount]]&lt;&gt;"",Expenses[[#This Row],[Monthly Amount]]/Income,"")</f>
        <v/>
      </c>
    </row>
    <row r="172" ht="24" customHeight="1">
      <c r="B172" s="31" t="n"/>
      <c r="C172" s="31" t="n"/>
      <c r="D172" s="32" t="n"/>
      <c r="E172" s="31" t="n"/>
      <c r="F17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72" s="32" t="n"/>
      <c r="H172" s="33">
        <f>IF(Expenses[[#This Row],[Monthly Amount]]&lt;&gt;"",Expenses[[#This Row],[Monthly Amount]]/Income,"")</f>
        <v/>
      </c>
    </row>
    <row r="173" ht="24" customHeight="1">
      <c r="B173" s="31" t="n"/>
      <c r="C173" s="31" t="n"/>
      <c r="D173" s="32" t="n"/>
      <c r="E173" s="31" t="n"/>
      <c r="F17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73" s="32" t="n"/>
      <c r="H173" s="33">
        <f>IF(Expenses[[#This Row],[Monthly Amount]]&lt;&gt;"",Expenses[[#This Row],[Monthly Amount]]/Income,"")</f>
        <v/>
      </c>
    </row>
    <row r="174" ht="24" customHeight="1">
      <c r="B174" s="31" t="n"/>
      <c r="C174" s="31" t="n"/>
      <c r="D174" s="32" t="n"/>
      <c r="E174" s="31" t="n"/>
      <c r="F17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74" s="32" t="n"/>
      <c r="H174" s="33">
        <f>IF(Expenses[[#This Row],[Monthly Amount]]&lt;&gt;"",Expenses[[#This Row],[Monthly Amount]]/Income,"")</f>
        <v/>
      </c>
    </row>
    <row r="175" ht="24" customHeight="1">
      <c r="B175" s="31" t="n"/>
      <c r="C175" s="31" t="n"/>
      <c r="D175" s="32" t="n"/>
      <c r="E175" s="31" t="n"/>
      <c r="F17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75" s="32" t="n"/>
      <c r="H175" s="33">
        <f>IF(Expenses[[#This Row],[Monthly Amount]]&lt;&gt;"",Expenses[[#This Row],[Monthly Amount]]/Income,"")</f>
        <v/>
      </c>
    </row>
    <row r="176" ht="24" customHeight="1">
      <c r="B176" s="31" t="n"/>
      <c r="C176" s="31" t="n"/>
      <c r="D176" s="32" t="n"/>
      <c r="E176" s="31" t="n"/>
      <c r="F17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76" s="32" t="n"/>
      <c r="H176" s="33">
        <f>IF(Expenses[[#This Row],[Monthly Amount]]&lt;&gt;"",Expenses[[#This Row],[Monthly Amount]]/Income,"")</f>
        <v/>
      </c>
    </row>
    <row r="177" ht="24" customHeight="1">
      <c r="B177" s="31" t="n"/>
      <c r="C177" s="31" t="n"/>
      <c r="D177" s="32" t="n"/>
      <c r="E177" s="31" t="n"/>
      <c r="F17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77" s="32" t="n"/>
      <c r="H177" s="33">
        <f>IF(Expenses[[#This Row],[Monthly Amount]]&lt;&gt;"",Expenses[[#This Row],[Monthly Amount]]/Income,"")</f>
        <v/>
      </c>
    </row>
    <row r="178" ht="24" customHeight="1">
      <c r="B178" s="31" t="n"/>
      <c r="C178" s="31" t="n"/>
      <c r="D178" s="32" t="n"/>
      <c r="E178" s="31" t="n"/>
      <c r="F17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78" s="32" t="n"/>
      <c r="H178" s="33">
        <f>IF(Expenses[[#This Row],[Monthly Amount]]&lt;&gt;"",Expenses[[#This Row],[Monthly Amount]]/Income,"")</f>
        <v/>
      </c>
    </row>
    <row r="179" ht="24" customHeight="1">
      <c r="B179" s="31" t="n"/>
      <c r="C179" s="31" t="n"/>
      <c r="D179" s="32" t="n"/>
      <c r="E179" s="31" t="n"/>
      <c r="F17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79" s="32" t="n"/>
      <c r="H179" s="33">
        <f>IF(Expenses[[#This Row],[Monthly Amount]]&lt;&gt;"",Expenses[[#This Row],[Monthly Amount]]/Income,"")</f>
        <v/>
      </c>
    </row>
    <row r="180" ht="24" customHeight="1">
      <c r="B180" s="31" t="n"/>
      <c r="C180" s="31" t="n"/>
      <c r="D180" s="32" t="n"/>
      <c r="E180" s="31" t="n"/>
      <c r="F18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80" s="32" t="n"/>
      <c r="H180" s="33">
        <f>IF(Expenses[[#This Row],[Monthly Amount]]&lt;&gt;"",Expenses[[#This Row],[Monthly Amount]]/Income,"")</f>
        <v/>
      </c>
    </row>
    <row r="181" ht="24" customHeight="1">
      <c r="B181" s="31" t="n"/>
      <c r="C181" s="31" t="n"/>
      <c r="D181" s="32" t="n"/>
      <c r="E181" s="31" t="n"/>
      <c r="F18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81" s="32" t="n"/>
      <c r="H181" s="33">
        <f>IF(Expenses[[#This Row],[Monthly Amount]]&lt;&gt;"",Expenses[[#This Row],[Monthly Amount]]/Income,"")</f>
        <v/>
      </c>
    </row>
    <row r="182" ht="24" customHeight="1">
      <c r="B182" s="31" t="n"/>
      <c r="C182" s="31" t="n"/>
      <c r="D182" s="32" t="n"/>
      <c r="E182" s="31" t="n"/>
      <c r="F18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82" s="32" t="n"/>
      <c r="H182" s="33">
        <f>IF(Expenses[[#This Row],[Monthly Amount]]&lt;&gt;"",Expenses[[#This Row],[Monthly Amount]]/Income,"")</f>
        <v/>
      </c>
    </row>
    <row r="183" ht="24" customHeight="1">
      <c r="B183" s="31" t="n"/>
      <c r="C183" s="31" t="n"/>
      <c r="D183" s="32" t="n"/>
      <c r="E183" s="31" t="n"/>
      <c r="F18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83" s="32" t="n"/>
      <c r="H183" s="33">
        <f>IF(Expenses[[#This Row],[Monthly Amount]]&lt;&gt;"",Expenses[[#This Row],[Monthly Amount]]/Income,"")</f>
        <v/>
      </c>
    </row>
    <row r="184" ht="24" customHeight="1">
      <c r="B184" s="31" t="n"/>
      <c r="C184" s="31" t="n"/>
      <c r="D184" s="32" t="n"/>
      <c r="E184" s="31" t="n"/>
      <c r="F18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84" s="32" t="n"/>
      <c r="H184" s="33">
        <f>IF(Expenses[[#This Row],[Monthly Amount]]&lt;&gt;"",Expenses[[#This Row],[Monthly Amount]]/Income,"")</f>
        <v/>
      </c>
    </row>
    <row r="185" ht="24" customHeight="1">
      <c r="B185" s="31" t="n"/>
      <c r="C185" s="31" t="n"/>
      <c r="D185" s="32" t="n"/>
      <c r="E185" s="31" t="n"/>
      <c r="F18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85" s="32" t="n"/>
      <c r="H185" s="33">
        <f>IF(Expenses[[#This Row],[Monthly Amount]]&lt;&gt;"",Expenses[[#This Row],[Monthly Amount]]/Income,"")</f>
        <v/>
      </c>
    </row>
    <row r="186" ht="24" customHeight="1">
      <c r="B186" s="31" t="n"/>
      <c r="C186" s="31" t="n"/>
      <c r="D186" s="32" t="n"/>
      <c r="E186" s="31" t="n"/>
      <c r="F18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86" s="32" t="n"/>
      <c r="H186" s="33">
        <f>IF(Expenses[[#This Row],[Monthly Amount]]&lt;&gt;"",Expenses[[#This Row],[Monthly Amount]]/Income,"")</f>
        <v/>
      </c>
    </row>
    <row r="187" ht="24" customHeight="1">
      <c r="B187" s="31" t="n"/>
      <c r="C187" s="31" t="n"/>
      <c r="D187" s="32" t="n"/>
      <c r="E187" s="31" t="n"/>
      <c r="F18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87" s="32" t="n"/>
      <c r="H187" s="33">
        <f>IF(Expenses[[#This Row],[Monthly Amount]]&lt;&gt;"",Expenses[[#This Row],[Monthly Amount]]/Income,"")</f>
        <v/>
      </c>
    </row>
    <row r="188" ht="24" customHeight="1">
      <c r="B188" s="31" t="n"/>
      <c r="C188" s="31" t="n"/>
      <c r="D188" s="32" t="n"/>
      <c r="E188" s="31" t="n"/>
      <c r="F18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88" s="32" t="n"/>
      <c r="H188" s="33">
        <f>IF(Expenses[[#This Row],[Monthly Amount]]&lt;&gt;"",Expenses[[#This Row],[Monthly Amount]]/Income,"")</f>
        <v/>
      </c>
    </row>
    <row r="189" ht="24" customHeight="1">
      <c r="B189" s="31" t="n"/>
      <c r="C189" s="31" t="n"/>
      <c r="D189" s="32" t="n"/>
      <c r="E189" s="31" t="n"/>
      <c r="F18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89" s="32" t="n"/>
      <c r="H189" s="33">
        <f>IF(Expenses[[#This Row],[Monthly Amount]]&lt;&gt;"",Expenses[[#This Row],[Monthly Amount]]/Income,"")</f>
        <v/>
      </c>
    </row>
    <row r="190" ht="24" customHeight="1">
      <c r="B190" s="31" t="n"/>
      <c r="C190" s="31" t="n"/>
      <c r="D190" s="32" t="n"/>
      <c r="E190" s="31" t="n"/>
      <c r="F19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90" s="32" t="n"/>
      <c r="H190" s="33">
        <f>IF(Expenses[[#This Row],[Monthly Amount]]&lt;&gt;"",Expenses[[#This Row],[Monthly Amount]]/Income,"")</f>
        <v/>
      </c>
    </row>
    <row r="191" ht="24" customHeight="1">
      <c r="B191" s="31" t="n"/>
      <c r="C191" s="31" t="n"/>
      <c r="D191" s="32" t="n"/>
      <c r="E191" s="31" t="n"/>
      <c r="F19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91" s="32" t="n"/>
      <c r="H191" s="33">
        <f>IF(Expenses[[#This Row],[Monthly Amount]]&lt;&gt;"",Expenses[[#This Row],[Monthly Amount]]/Income,"")</f>
        <v/>
      </c>
    </row>
    <row r="192" ht="24" customHeight="1">
      <c r="B192" s="31" t="n"/>
      <c r="C192" s="31" t="n"/>
      <c r="D192" s="32" t="n"/>
      <c r="E192" s="31" t="n"/>
      <c r="F19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92" s="32" t="n"/>
      <c r="H192" s="33">
        <f>IF(Expenses[[#This Row],[Monthly Amount]]&lt;&gt;"",Expenses[[#This Row],[Monthly Amount]]/Income,"")</f>
        <v/>
      </c>
    </row>
    <row r="193" ht="24" customHeight="1">
      <c r="B193" s="31" t="n"/>
      <c r="C193" s="31" t="n"/>
      <c r="D193" s="32" t="n"/>
      <c r="E193" s="31" t="n"/>
      <c r="F19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93" s="32" t="n"/>
      <c r="H193" s="33">
        <f>IF(Expenses[[#This Row],[Monthly Amount]]&lt;&gt;"",Expenses[[#This Row],[Monthly Amount]]/Income,"")</f>
        <v/>
      </c>
    </row>
    <row r="194" ht="24" customHeight="1">
      <c r="B194" s="31" t="n"/>
      <c r="C194" s="31" t="n"/>
      <c r="D194" s="32" t="n"/>
      <c r="E194" s="31" t="n"/>
      <c r="F19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94" s="32" t="n"/>
      <c r="H194" s="33">
        <f>IF(Expenses[[#This Row],[Monthly Amount]]&lt;&gt;"",Expenses[[#This Row],[Monthly Amount]]/Income,"")</f>
        <v/>
      </c>
    </row>
    <row r="195" ht="24" customHeight="1">
      <c r="B195" s="31" t="n"/>
      <c r="C195" s="31" t="n"/>
      <c r="D195" s="32" t="n"/>
      <c r="E195" s="31" t="n"/>
      <c r="F19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95" s="32" t="n"/>
      <c r="H195" s="33">
        <f>IF(Expenses[[#This Row],[Monthly Amount]]&lt;&gt;"",Expenses[[#This Row],[Monthly Amount]]/Income,"")</f>
        <v/>
      </c>
    </row>
    <row r="196" ht="24" customHeight="1">
      <c r="B196" s="31" t="n"/>
      <c r="C196" s="31" t="n"/>
      <c r="D196" s="32" t="n"/>
      <c r="E196" s="31" t="n"/>
      <c r="F19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96" s="32" t="n"/>
      <c r="H196" s="33">
        <f>IF(Expenses[[#This Row],[Monthly Amount]]&lt;&gt;"",Expenses[[#This Row],[Monthly Amount]]/Income,"")</f>
        <v/>
      </c>
    </row>
    <row r="197" ht="24" customHeight="1">
      <c r="B197" s="31" t="n"/>
      <c r="C197" s="31" t="n"/>
      <c r="D197" s="32" t="n"/>
      <c r="E197" s="31" t="n"/>
      <c r="F19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97" s="32" t="n"/>
      <c r="H197" s="33">
        <f>IF(Expenses[[#This Row],[Monthly Amount]]&lt;&gt;"",Expenses[[#This Row],[Monthly Amount]]/Income,"")</f>
        <v/>
      </c>
    </row>
    <row r="198" ht="24" customHeight="1">
      <c r="B198" s="31" t="n"/>
      <c r="C198" s="31" t="n"/>
      <c r="D198" s="32" t="n"/>
      <c r="E198" s="31" t="n"/>
      <c r="F19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98" s="32" t="n"/>
      <c r="H198" s="33">
        <f>IF(Expenses[[#This Row],[Monthly Amount]]&lt;&gt;"",Expenses[[#This Row],[Monthly Amount]]/Income,"")</f>
        <v/>
      </c>
    </row>
    <row r="199" ht="24" customHeight="1">
      <c r="B199" s="31" t="n"/>
      <c r="C199" s="31" t="n"/>
      <c r="D199" s="32" t="n"/>
      <c r="E199" s="31" t="n"/>
      <c r="F19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99" s="32" t="n"/>
      <c r="H199" s="33">
        <f>IF(Expenses[[#This Row],[Monthly Amount]]&lt;&gt;"",Expenses[[#This Row],[Monthly Amount]]/Income,"")</f>
        <v/>
      </c>
    </row>
    <row r="200" ht="24" customHeight="1">
      <c r="B200" s="31" t="n"/>
      <c r="C200" s="31" t="n"/>
      <c r="D200" s="32" t="n"/>
      <c r="E200" s="31" t="n"/>
      <c r="F20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00" s="32" t="n"/>
      <c r="H200" s="33">
        <f>IF(Expenses[[#This Row],[Monthly Amount]]&lt;&gt;"",Expenses[[#This Row],[Monthly Amount]]/Income,"")</f>
        <v/>
      </c>
    </row>
    <row r="201" ht="24" customHeight="1">
      <c r="B201" s="31" t="n"/>
      <c r="C201" s="31" t="n"/>
      <c r="D201" s="32" t="n"/>
      <c r="E201" s="31" t="n"/>
      <c r="F20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01" s="32" t="n"/>
      <c r="H201" s="33">
        <f>IF(Expenses[[#This Row],[Monthly Amount]]&lt;&gt;"",Expenses[[#This Row],[Monthly Amount]]/Income,"")</f>
        <v/>
      </c>
    </row>
    <row r="202" ht="24" customHeight="1">
      <c r="B202" s="31" t="n"/>
      <c r="C202" s="31" t="n"/>
      <c r="D202" s="32" t="n"/>
      <c r="E202" s="31" t="n"/>
      <c r="F20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02" s="32" t="n"/>
      <c r="H202" s="33">
        <f>IF(Expenses[[#This Row],[Monthly Amount]]&lt;&gt;"",Expenses[[#This Row],[Monthly Amount]]/Income,"")</f>
        <v/>
      </c>
    </row>
    <row r="203" ht="24" customHeight="1">
      <c r="B203" s="31" t="n"/>
      <c r="C203" s="31" t="n"/>
      <c r="D203" s="32" t="n"/>
      <c r="E203" s="31" t="n"/>
      <c r="F20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03" s="32" t="n"/>
      <c r="H203" s="33">
        <f>IF(Expenses[[#This Row],[Monthly Amount]]&lt;&gt;"",Expenses[[#This Row],[Monthly Amount]]/Income,"")</f>
        <v/>
      </c>
    </row>
    <row r="204" ht="24" customHeight="1">
      <c r="B204" s="31" t="n"/>
      <c r="C204" s="31" t="n"/>
      <c r="D204" s="32" t="n"/>
      <c r="E204" s="31" t="n"/>
      <c r="F20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04" s="32" t="n"/>
      <c r="H204" s="33">
        <f>IF(Expenses[[#This Row],[Monthly Amount]]&lt;&gt;"",Expenses[[#This Row],[Monthly Amount]]/Income,"")</f>
        <v/>
      </c>
    </row>
    <row r="205" ht="24" customHeight="1">
      <c r="B205" s="31" t="n"/>
      <c r="C205" s="31" t="n"/>
      <c r="D205" s="32" t="n"/>
      <c r="E205" s="31" t="n"/>
      <c r="F20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05" s="32" t="n"/>
      <c r="H205" s="33">
        <f>IF(Expenses[[#This Row],[Monthly Amount]]&lt;&gt;"",Expenses[[#This Row],[Monthly Amount]]/Income,"")</f>
        <v/>
      </c>
    </row>
    <row r="206" ht="24" customHeight="1">
      <c r="B206" s="31" t="n"/>
      <c r="C206" s="31" t="n"/>
      <c r="D206" s="32" t="n"/>
      <c r="E206" s="31" t="n"/>
      <c r="F20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06" s="32" t="n"/>
      <c r="H206" s="33">
        <f>IF(Expenses[[#This Row],[Monthly Amount]]&lt;&gt;"",Expenses[[#This Row],[Monthly Amount]]/Income,"")</f>
        <v/>
      </c>
    </row>
    <row r="207" ht="24" customHeight="1">
      <c r="B207" s="31" t="n"/>
      <c r="C207" s="31" t="n"/>
      <c r="D207" s="32" t="n"/>
      <c r="E207" s="31" t="n"/>
      <c r="F20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07" s="32" t="n"/>
      <c r="H207" s="33">
        <f>IF(Expenses[[#This Row],[Monthly Amount]]&lt;&gt;"",Expenses[[#This Row],[Monthly Amount]]/Income,"")</f>
        <v/>
      </c>
    </row>
    <row r="208" ht="24" customHeight="1">
      <c r="B208" s="31" t="n"/>
      <c r="C208" s="31" t="n"/>
      <c r="D208" s="32" t="n"/>
      <c r="E208" s="31" t="n"/>
      <c r="F20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08" s="32" t="n"/>
      <c r="H208" s="33">
        <f>IF(Expenses[[#This Row],[Monthly Amount]]&lt;&gt;"",Expenses[[#This Row],[Monthly Amount]]/Income,"")</f>
        <v/>
      </c>
    </row>
    <row r="209" ht="24" customHeight="1">
      <c r="B209" s="31" t="n"/>
      <c r="C209" s="31" t="n"/>
      <c r="D209" s="32" t="n"/>
      <c r="E209" s="31" t="n"/>
      <c r="F20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09" s="32" t="n"/>
      <c r="H209" s="33">
        <f>IF(Expenses[[#This Row],[Monthly Amount]]&lt;&gt;"",Expenses[[#This Row],[Monthly Amount]]/Income,"")</f>
        <v/>
      </c>
    </row>
    <row r="210" ht="24" customHeight="1">
      <c r="B210" s="31" t="n"/>
      <c r="C210" s="31" t="n"/>
      <c r="D210" s="32" t="n"/>
      <c r="E210" s="31" t="n"/>
      <c r="F21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10" s="32" t="n"/>
      <c r="H210" s="33">
        <f>IF(Expenses[[#This Row],[Monthly Amount]]&lt;&gt;"",Expenses[[#This Row],[Monthly Amount]]/Income,"")</f>
        <v/>
      </c>
    </row>
    <row r="211" ht="24" customHeight="1">
      <c r="B211" s="31" t="n"/>
      <c r="C211" s="31" t="n"/>
      <c r="D211" s="32" t="n"/>
      <c r="E211" s="31" t="n"/>
      <c r="F21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11" s="32" t="n"/>
      <c r="H211" s="33">
        <f>IF(Expenses[[#This Row],[Monthly Amount]]&lt;&gt;"",Expenses[[#This Row],[Monthly Amount]]/Income,"")</f>
        <v/>
      </c>
    </row>
    <row r="212" ht="24" customHeight="1">
      <c r="B212" s="31" t="n"/>
      <c r="C212" s="31" t="n"/>
      <c r="D212" s="32" t="n"/>
      <c r="E212" s="31" t="n"/>
      <c r="F21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12" s="32" t="n"/>
      <c r="H212" s="33">
        <f>IF(Expenses[[#This Row],[Monthly Amount]]&lt;&gt;"",Expenses[[#This Row],[Monthly Amount]]/Income,"")</f>
        <v/>
      </c>
    </row>
    <row r="213" ht="24" customHeight="1">
      <c r="B213" s="31" t="n"/>
      <c r="C213" s="31" t="n"/>
      <c r="D213" s="32" t="n"/>
      <c r="E213" s="31" t="n"/>
      <c r="F21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13" s="32" t="n"/>
      <c r="H213" s="33">
        <f>IF(Expenses[[#This Row],[Monthly Amount]]&lt;&gt;"",Expenses[[#This Row],[Monthly Amount]]/Income,"")</f>
        <v/>
      </c>
    </row>
    <row r="214" ht="24" customHeight="1">
      <c r="B214" s="31" t="n"/>
      <c r="C214" s="31" t="n"/>
      <c r="D214" s="32" t="n"/>
      <c r="E214" s="31" t="n"/>
      <c r="F21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14" s="32" t="n"/>
      <c r="H214" s="33">
        <f>IF(Expenses[[#This Row],[Monthly Amount]]&lt;&gt;"",Expenses[[#This Row],[Monthly Amount]]/Income,"")</f>
        <v/>
      </c>
    </row>
    <row r="215" ht="24" customHeight="1">
      <c r="B215" s="31" t="n"/>
      <c r="C215" s="31" t="n"/>
      <c r="D215" s="32" t="n"/>
      <c r="E215" s="31" t="n"/>
      <c r="F21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15" s="32" t="n"/>
      <c r="H215" s="33">
        <f>IF(Expenses[[#This Row],[Monthly Amount]]&lt;&gt;"",Expenses[[#This Row],[Monthly Amount]]/Income,"")</f>
        <v/>
      </c>
    </row>
    <row r="216" ht="24" customHeight="1">
      <c r="B216" s="31" t="n"/>
      <c r="C216" s="31" t="n"/>
      <c r="D216" s="32" t="n"/>
      <c r="E216" s="31" t="n"/>
      <c r="F21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16" s="32" t="n"/>
      <c r="H216" s="33">
        <f>IF(Expenses[[#This Row],[Monthly Amount]]&lt;&gt;"",Expenses[[#This Row],[Monthly Amount]]/Income,"")</f>
        <v/>
      </c>
    </row>
    <row r="217" ht="24" customHeight="1">
      <c r="B217" s="31" t="n"/>
      <c r="C217" s="31" t="n"/>
      <c r="D217" s="32" t="n"/>
      <c r="E217" s="31" t="n"/>
      <c r="F21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17" s="32" t="n"/>
      <c r="H217" s="33">
        <f>IF(Expenses[[#This Row],[Monthly Amount]]&lt;&gt;"",Expenses[[#This Row],[Monthly Amount]]/Income,"")</f>
        <v/>
      </c>
    </row>
    <row r="218" ht="24" customHeight="1">
      <c r="B218" s="31" t="n"/>
      <c r="C218" s="31" t="n"/>
      <c r="D218" s="32" t="n"/>
      <c r="E218" s="31" t="n"/>
      <c r="F21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18" s="32" t="n"/>
      <c r="H218" s="33">
        <f>IF(Expenses[[#This Row],[Monthly Amount]]&lt;&gt;"",Expenses[[#This Row],[Monthly Amount]]/Income,"")</f>
        <v/>
      </c>
    </row>
    <row r="219" ht="24" customHeight="1">
      <c r="B219" s="31" t="n"/>
      <c r="C219" s="31" t="n"/>
      <c r="D219" s="32" t="n"/>
      <c r="E219" s="31" t="n"/>
      <c r="F21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19" s="32" t="n"/>
      <c r="H219" s="33">
        <f>IF(Expenses[[#This Row],[Monthly Amount]]&lt;&gt;"",Expenses[[#This Row],[Monthly Amount]]/Income,"")</f>
        <v/>
      </c>
    </row>
    <row r="220" ht="24" customHeight="1">
      <c r="B220" s="31" t="n"/>
      <c r="C220" s="31" t="n"/>
      <c r="D220" s="32" t="n"/>
      <c r="E220" s="31" t="n"/>
      <c r="F22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20" s="32" t="n"/>
      <c r="H220" s="33">
        <f>IF(Expenses[[#This Row],[Monthly Amount]]&lt;&gt;"",Expenses[[#This Row],[Monthly Amount]]/Income,"")</f>
        <v/>
      </c>
    </row>
    <row r="221" ht="24" customHeight="1">
      <c r="B221" s="31" t="n"/>
      <c r="C221" s="31" t="n"/>
      <c r="D221" s="32" t="n"/>
      <c r="E221" s="31" t="n"/>
      <c r="F22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21" s="32" t="n"/>
      <c r="H221" s="33">
        <f>IF(Expenses[[#This Row],[Monthly Amount]]&lt;&gt;"",Expenses[[#This Row],[Monthly Amount]]/Income,"")</f>
        <v/>
      </c>
    </row>
    <row r="222" ht="24" customHeight="1">
      <c r="B222" s="31" t="n"/>
      <c r="C222" s="31" t="n"/>
      <c r="D222" s="32" t="n"/>
      <c r="E222" s="31" t="n"/>
      <c r="F22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22" s="32" t="n"/>
      <c r="H222" s="33">
        <f>IF(Expenses[[#This Row],[Monthly Amount]]&lt;&gt;"",Expenses[[#This Row],[Monthly Amount]]/Income,"")</f>
        <v/>
      </c>
    </row>
    <row r="223" ht="24" customHeight="1">
      <c r="B223" s="31" t="n"/>
      <c r="C223" s="31" t="n"/>
      <c r="D223" s="32" t="n"/>
      <c r="E223" s="31" t="n"/>
      <c r="F22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23" s="32" t="n"/>
      <c r="H223" s="33">
        <f>IF(Expenses[[#This Row],[Monthly Amount]]&lt;&gt;"",Expenses[[#This Row],[Monthly Amount]]/Income,"")</f>
        <v/>
      </c>
    </row>
    <row r="224" ht="24" customHeight="1">
      <c r="B224" s="31" t="n"/>
      <c r="C224" s="31" t="n"/>
      <c r="D224" s="32" t="n"/>
      <c r="E224" s="31" t="n"/>
      <c r="F22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24" s="32" t="n"/>
      <c r="H224" s="33">
        <f>IF(Expenses[[#This Row],[Monthly Amount]]&lt;&gt;"",Expenses[[#This Row],[Monthly Amount]]/Income,"")</f>
        <v/>
      </c>
    </row>
    <row r="225" ht="24" customHeight="1">
      <c r="B225" s="31" t="n"/>
      <c r="C225" s="31" t="n"/>
      <c r="D225" s="32" t="n"/>
      <c r="E225" s="31" t="n"/>
      <c r="F22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25" s="32" t="n"/>
      <c r="H225" s="33">
        <f>IF(Expenses[[#This Row],[Monthly Amount]]&lt;&gt;"",Expenses[[#This Row],[Monthly Amount]]/Income,"")</f>
        <v/>
      </c>
    </row>
    <row r="226" ht="24" customHeight="1">
      <c r="B226" s="31" t="n"/>
      <c r="C226" s="31" t="n"/>
      <c r="D226" s="32" t="n"/>
      <c r="E226" s="31" t="n"/>
      <c r="F22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26" s="32" t="n"/>
      <c r="H226" s="33">
        <f>IF(Expenses[[#This Row],[Monthly Amount]]&lt;&gt;"",Expenses[[#This Row],[Monthly Amount]]/Income,"")</f>
        <v/>
      </c>
    </row>
    <row r="227" ht="24" customHeight="1">
      <c r="B227" s="31" t="n"/>
      <c r="C227" s="31" t="n"/>
      <c r="D227" s="32" t="n"/>
      <c r="E227" s="31" t="n"/>
      <c r="F22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27" s="32" t="n"/>
      <c r="H227" s="33">
        <f>IF(Expenses[[#This Row],[Monthly Amount]]&lt;&gt;"",Expenses[[#This Row],[Monthly Amount]]/Income,"")</f>
        <v/>
      </c>
    </row>
    <row r="228" ht="24" customHeight="1">
      <c r="B228" s="31" t="n"/>
      <c r="C228" s="31" t="n"/>
      <c r="D228" s="32" t="n"/>
      <c r="E228" s="31" t="n"/>
      <c r="F22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28" s="32" t="n"/>
      <c r="H228" s="33">
        <f>IF(Expenses[[#This Row],[Monthly Amount]]&lt;&gt;"",Expenses[[#This Row],[Monthly Amount]]/Income,"")</f>
        <v/>
      </c>
    </row>
    <row r="229" ht="24" customHeight="1">
      <c r="B229" s="31" t="n"/>
      <c r="C229" s="31" t="n"/>
      <c r="D229" s="32" t="n"/>
      <c r="E229" s="31" t="n"/>
      <c r="F22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29" s="32" t="n"/>
      <c r="H229" s="33">
        <f>IF(Expenses[[#This Row],[Monthly Amount]]&lt;&gt;"",Expenses[[#This Row],[Monthly Amount]]/Income,"")</f>
        <v/>
      </c>
    </row>
    <row r="230" ht="24" customHeight="1">
      <c r="B230" s="31" t="n"/>
      <c r="C230" s="31" t="n"/>
      <c r="D230" s="32" t="n"/>
      <c r="E230" s="31" t="n"/>
      <c r="F23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30" s="32" t="n"/>
      <c r="H230" s="33">
        <f>IF(Expenses[[#This Row],[Monthly Amount]]&lt;&gt;"",Expenses[[#This Row],[Monthly Amount]]/Income,"")</f>
        <v/>
      </c>
    </row>
    <row r="231" ht="24" customHeight="1">
      <c r="B231" s="31" t="n"/>
      <c r="C231" s="31" t="n"/>
      <c r="D231" s="32" t="n"/>
      <c r="E231" s="31" t="n"/>
      <c r="F23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31" s="32" t="n"/>
      <c r="H231" s="33">
        <f>IF(Expenses[[#This Row],[Monthly Amount]]&lt;&gt;"",Expenses[[#This Row],[Monthly Amount]]/Income,"")</f>
        <v/>
      </c>
    </row>
    <row r="232" ht="24" customHeight="1">
      <c r="B232" s="31" t="n"/>
      <c r="C232" s="31" t="n"/>
      <c r="D232" s="32" t="n"/>
      <c r="E232" s="31" t="n"/>
      <c r="F23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32" s="32" t="n"/>
      <c r="H232" s="33">
        <f>IF(Expenses[[#This Row],[Monthly Amount]]&lt;&gt;"",Expenses[[#This Row],[Monthly Amount]]/Income,"")</f>
        <v/>
      </c>
    </row>
    <row r="233" ht="24" customHeight="1">
      <c r="B233" s="31" t="n"/>
      <c r="C233" s="31" t="n"/>
      <c r="D233" s="32" t="n"/>
      <c r="E233" s="31" t="n"/>
      <c r="F23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33" s="32" t="n"/>
      <c r="H233" s="33">
        <f>IF(Expenses[[#This Row],[Monthly Amount]]&lt;&gt;"",Expenses[[#This Row],[Monthly Amount]]/Income,"")</f>
        <v/>
      </c>
    </row>
    <row r="234" ht="24" customHeight="1">
      <c r="B234" s="31" t="n"/>
      <c r="C234" s="31" t="n"/>
      <c r="D234" s="32" t="n"/>
      <c r="E234" s="31" t="n"/>
      <c r="F23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34" s="32" t="n"/>
      <c r="H234" s="33">
        <f>IF(Expenses[[#This Row],[Monthly Amount]]&lt;&gt;"",Expenses[[#This Row],[Monthly Amount]]/Income,"")</f>
        <v/>
      </c>
    </row>
    <row r="235" ht="24" customHeight="1">
      <c r="B235" s="31" t="n"/>
      <c r="C235" s="31" t="n"/>
      <c r="D235" s="32" t="n"/>
      <c r="E235" s="31" t="n"/>
      <c r="F23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35" s="32" t="n"/>
      <c r="H235" s="33">
        <f>IF(Expenses[[#This Row],[Monthly Amount]]&lt;&gt;"",Expenses[[#This Row],[Monthly Amount]]/Income,"")</f>
        <v/>
      </c>
    </row>
    <row r="236" ht="24" customHeight="1">
      <c r="B236" s="31" t="n"/>
      <c r="C236" s="31" t="n"/>
      <c r="D236" s="32" t="n"/>
      <c r="E236" s="31" t="n"/>
      <c r="F23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36" s="32" t="n"/>
      <c r="H236" s="33">
        <f>IF(Expenses[[#This Row],[Monthly Amount]]&lt;&gt;"",Expenses[[#This Row],[Monthly Amount]]/Income,"")</f>
        <v/>
      </c>
    </row>
    <row r="237" ht="24" customHeight="1">
      <c r="B237" s="31" t="n"/>
      <c r="C237" s="31" t="n"/>
      <c r="D237" s="32" t="n"/>
      <c r="E237" s="31" t="n"/>
      <c r="F23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37" s="32" t="n"/>
      <c r="H237" s="33">
        <f>IF(Expenses[[#This Row],[Monthly Amount]]&lt;&gt;"",Expenses[[#This Row],[Monthly Amount]]/Income,"")</f>
        <v/>
      </c>
    </row>
    <row r="238" ht="24" customHeight="1">
      <c r="B238" s="31" t="n"/>
      <c r="C238" s="31" t="n"/>
      <c r="D238" s="32" t="n"/>
      <c r="E238" s="31" t="n"/>
      <c r="F23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38" s="32" t="n"/>
      <c r="H238" s="33">
        <f>IF(Expenses[[#This Row],[Monthly Amount]]&lt;&gt;"",Expenses[[#This Row],[Monthly Amount]]/Income,"")</f>
        <v/>
      </c>
    </row>
    <row r="239" ht="24" customHeight="1">
      <c r="B239" s="31" t="n"/>
      <c r="C239" s="31" t="n"/>
      <c r="D239" s="32" t="n"/>
      <c r="E239" s="31" t="n"/>
      <c r="F23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39" s="32" t="n"/>
      <c r="H239" s="33">
        <f>IF(Expenses[[#This Row],[Monthly Amount]]&lt;&gt;"",Expenses[[#This Row],[Monthly Amount]]/Income,"")</f>
        <v/>
      </c>
    </row>
    <row r="240" ht="24" customHeight="1">
      <c r="B240" s="31" t="n"/>
      <c r="C240" s="31" t="n"/>
      <c r="D240" s="32" t="n"/>
      <c r="E240" s="31" t="n"/>
      <c r="F24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40" s="32" t="n"/>
      <c r="H240" s="33">
        <f>IF(Expenses[[#This Row],[Monthly Amount]]&lt;&gt;"",Expenses[[#This Row],[Monthly Amount]]/Income,"")</f>
        <v/>
      </c>
    </row>
    <row r="241" ht="24" customHeight="1">
      <c r="B241" s="31" t="n"/>
      <c r="C241" s="31" t="n"/>
      <c r="D241" s="32" t="n"/>
      <c r="E241" s="31" t="n"/>
      <c r="F24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41" s="32" t="n"/>
      <c r="H241" s="33">
        <f>IF(Expenses[[#This Row],[Monthly Amount]]&lt;&gt;"",Expenses[[#This Row],[Monthly Amount]]/Income,"")</f>
        <v/>
      </c>
    </row>
    <row r="242" ht="24" customHeight="1">
      <c r="B242" s="31" t="n"/>
      <c r="C242" s="31" t="n"/>
      <c r="D242" s="32" t="n"/>
      <c r="E242" s="31" t="n"/>
      <c r="F24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42" s="32" t="n"/>
      <c r="H242" s="33">
        <f>IF(Expenses[[#This Row],[Monthly Amount]]&lt;&gt;"",Expenses[[#This Row],[Monthly Amount]]/Income,"")</f>
        <v/>
      </c>
    </row>
    <row r="243" ht="24" customHeight="1">
      <c r="B243" s="31" t="n"/>
      <c r="C243" s="31" t="n"/>
      <c r="D243" s="32" t="n"/>
      <c r="E243" s="31" t="n"/>
      <c r="F24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43" s="32" t="n"/>
      <c r="H243" s="33">
        <f>IF(Expenses[[#This Row],[Monthly Amount]]&lt;&gt;"",Expenses[[#This Row],[Monthly Amount]]/Income,"")</f>
        <v/>
      </c>
    </row>
    <row r="244" ht="24" customHeight="1">
      <c r="B244" s="31" t="n"/>
      <c r="C244" s="31" t="n"/>
      <c r="D244" s="32" t="n"/>
      <c r="E244" s="31" t="n"/>
      <c r="F24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44" s="32" t="n"/>
      <c r="H244" s="33">
        <f>IF(Expenses[[#This Row],[Monthly Amount]]&lt;&gt;"",Expenses[[#This Row],[Monthly Amount]]/Income,"")</f>
        <v/>
      </c>
    </row>
    <row r="245" ht="24" customHeight="1">
      <c r="B245" s="31" t="n"/>
      <c r="C245" s="31" t="n"/>
      <c r="D245" s="32" t="n"/>
      <c r="E245" s="31" t="n"/>
      <c r="F24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45" s="32" t="n"/>
      <c r="H245" s="33">
        <f>IF(Expenses[[#This Row],[Monthly Amount]]&lt;&gt;"",Expenses[[#This Row],[Monthly Amount]]/Income,"")</f>
        <v/>
      </c>
    </row>
    <row r="246" ht="24" customHeight="1">
      <c r="B246" s="31" t="n"/>
      <c r="C246" s="31" t="n"/>
      <c r="D246" s="32" t="n"/>
      <c r="E246" s="31" t="n"/>
      <c r="F24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46" s="32" t="n"/>
      <c r="H246" s="33">
        <f>IF(Expenses[[#This Row],[Monthly Amount]]&lt;&gt;"",Expenses[[#This Row],[Monthly Amount]]/Income,"")</f>
        <v/>
      </c>
    </row>
    <row r="247" ht="24" customHeight="1">
      <c r="B247" s="31" t="n"/>
      <c r="C247" s="31" t="n"/>
      <c r="D247" s="32" t="n"/>
      <c r="E247" s="31" t="n"/>
      <c r="F24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47" s="32" t="n"/>
      <c r="H247" s="33">
        <f>IF(Expenses[[#This Row],[Monthly Amount]]&lt;&gt;"",Expenses[[#This Row],[Monthly Amount]]/Income,"")</f>
        <v/>
      </c>
    </row>
    <row r="248" ht="24" customHeight="1">
      <c r="B248" s="31" t="n"/>
      <c r="C248" s="31" t="n"/>
      <c r="D248" s="32" t="n"/>
      <c r="E248" s="31" t="n"/>
      <c r="F24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48" s="32" t="n"/>
      <c r="H248" s="33">
        <f>IF(Expenses[[#This Row],[Monthly Amount]]&lt;&gt;"",Expenses[[#This Row],[Monthly Amount]]/Income,"")</f>
        <v/>
      </c>
    </row>
    <row r="249" ht="24" customHeight="1">
      <c r="B249" s="31" t="n"/>
      <c r="C249" s="31" t="n"/>
      <c r="D249" s="32" t="n"/>
      <c r="E249" s="31" t="n"/>
      <c r="F24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49" s="32" t="n"/>
      <c r="H249" s="33">
        <f>IF(Expenses[[#This Row],[Monthly Amount]]&lt;&gt;"",Expenses[[#This Row],[Monthly Amount]]/Income,"")</f>
        <v/>
      </c>
    </row>
    <row r="250" ht="24" customHeight="1">
      <c r="B250" s="31" t="n"/>
      <c r="C250" s="31" t="n"/>
      <c r="D250" s="32" t="n"/>
      <c r="E250" s="31" t="n"/>
      <c r="F25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50" s="32" t="n"/>
      <c r="H250" s="33">
        <f>IF(Expenses[[#This Row],[Monthly Amount]]&lt;&gt;"",Expenses[[#This Row],[Monthly Amount]]/Income,"")</f>
        <v/>
      </c>
    </row>
    <row r="251" ht="24" customHeight="1">
      <c r="B251" s="31" t="n"/>
      <c r="C251" s="31" t="n"/>
      <c r="D251" s="32" t="n"/>
      <c r="E251" s="31" t="n"/>
      <c r="F25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51" s="32" t="n"/>
      <c r="H251" s="33">
        <f>IF(Expenses[[#This Row],[Monthly Amount]]&lt;&gt;"",Expenses[[#This Row],[Monthly Amount]]/Income,"")</f>
        <v/>
      </c>
    </row>
    <row r="252" ht="24" customHeight="1">
      <c r="B252" s="31" t="n"/>
      <c r="C252" s="31" t="n"/>
      <c r="D252" s="32" t="n"/>
      <c r="E252" s="31" t="n"/>
      <c r="F25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52" s="32" t="n"/>
      <c r="H252" s="33">
        <f>IF(Expenses[[#This Row],[Monthly Amount]]&lt;&gt;"",Expenses[[#This Row],[Monthly Amount]]/Income,"")</f>
        <v/>
      </c>
    </row>
    <row r="253" ht="24" customHeight="1">
      <c r="B253" s="31" t="n"/>
      <c r="C253" s="31" t="n"/>
      <c r="D253" s="32" t="n"/>
      <c r="E253" s="31" t="n"/>
      <c r="F25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53" s="32" t="n"/>
      <c r="H253" s="33">
        <f>IF(Expenses[[#This Row],[Monthly Amount]]&lt;&gt;"",Expenses[[#This Row],[Monthly Amount]]/Income,"")</f>
        <v/>
      </c>
    </row>
    <row r="254" ht="24" customHeight="1">
      <c r="B254" s="31" t="n"/>
      <c r="C254" s="31" t="n"/>
      <c r="D254" s="32" t="n"/>
      <c r="E254" s="31" t="n"/>
      <c r="F25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54" s="32" t="n"/>
      <c r="H254" s="33">
        <f>IF(Expenses[[#This Row],[Monthly Amount]]&lt;&gt;"",Expenses[[#This Row],[Monthly Amount]]/Income,"")</f>
        <v/>
      </c>
    </row>
    <row r="255" ht="24" customHeight="1">
      <c r="B255" s="31" t="n"/>
      <c r="C255" s="31" t="n"/>
      <c r="D255" s="32" t="n"/>
      <c r="E255" s="31" t="n"/>
      <c r="F25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55" s="32" t="n"/>
      <c r="H255" s="33">
        <f>IF(Expenses[[#This Row],[Monthly Amount]]&lt;&gt;"",Expenses[[#This Row],[Monthly Amount]]/Income,"")</f>
        <v/>
      </c>
    </row>
    <row r="256" ht="24" customHeight="1">
      <c r="B256" s="31" t="n"/>
      <c r="C256" s="31" t="n"/>
      <c r="D256" s="32" t="n"/>
      <c r="E256" s="31" t="n"/>
      <c r="F25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56" s="32" t="n"/>
      <c r="H256" s="33">
        <f>IF(Expenses[[#This Row],[Monthly Amount]]&lt;&gt;"",Expenses[[#This Row],[Monthly Amount]]/Income,"")</f>
        <v/>
      </c>
    </row>
    <row r="257" ht="24" customHeight="1">
      <c r="B257" s="31" t="n"/>
      <c r="C257" s="31" t="n"/>
      <c r="D257" s="32" t="n"/>
      <c r="E257" s="31" t="n"/>
      <c r="F25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57" s="32" t="n"/>
      <c r="H257" s="33">
        <f>IF(Expenses[[#This Row],[Monthly Amount]]&lt;&gt;"",Expenses[[#This Row],[Monthly Amount]]/Income,"")</f>
        <v/>
      </c>
    </row>
    <row r="258" ht="24" customHeight="1">
      <c r="B258" s="31" t="n"/>
      <c r="C258" s="31" t="n"/>
      <c r="D258" s="32" t="n"/>
      <c r="E258" s="31" t="n"/>
      <c r="F25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58" s="32" t="n"/>
      <c r="H258" s="33">
        <f>IF(Expenses[[#This Row],[Monthly Amount]]&lt;&gt;"",Expenses[[#This Row],[Monthly Amount]]/Income,"")</f>
        <v/>
      </c>
    </row>
    <row r="259" ht="24" customHeight="1">
      <c r="B259" s="31" t="n"/>
      <c r="C259" s="31" t="n"/>
      <c r="D259" s="32" t="n"/>
      <c r="E259" s="31" t="n"/>
      <c r="F25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59" s="32" t="n"/>
      <c r="H259" s="33">
        <f>IF(Expenses[[#This Row],[Monthly Amount]]&lt;&gt;"",Expenses[[#This Row],[Monthly Amount]]/Income,"")</f>
        <v/>
      </c>
    </row>
    <row r="260" ht="24" customHeight="1">
      <c r="B260" s="31" t="n"/>
      <c r="C260" s="31" t="n"/>
      <c r="D260" s="32" t="n"/>
      <c r="E260" s="31" t="n"/>
      <c r="F26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60" s="32" t="n"/>
      <c r="H260" s="33">
        <f>IF(Expenses[[#This Row],[Monthly Amount]]&lt;&gt;"",Expenses[[#This Row],[Monthly Amount]]/Income,"")</f>
        <v/>
      </c>
    </row>
    <row r="261" ht="24" customHeight="1">
      <c r="B261" s="31" t="n"/>
      <c r="C261" s="31" t="n"/>
      <c r="D261" s="32" t="n"/>
      <c r="E261" s="31" t="n"/>
      <c r="F26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61" s="32" t="n"/>
      <c r="H261" s="33">
        <f>IF(Expenses[[#This Row],[Monthly Amount]]&lt;&gt;"",Expenses[[#This Row],[Monthly Amount]]/Income,"")</f>
        <v/>
      </c>
    </row>
    <row r="262" ht="24" customHeight="1">
      <c r="B262" s="31" t="n"/>
      <c r="C262" s="31" t="n"/>
      <c r="D262" s="32" t="n"/>
      <c r="E262" s="31" t="n"/>
      <c r="F26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62" s="32" t="n"/>
      <c r="H262" s="33">
        <f>IF(Expenses[[#This Row],[Monthly Amount]]&lt;&gt;"",Expenses[[#This Row],[Monthly Amount]]/Income,"")</f>
        <v/>
      </c>
    </row>
    <row r="263" ht="24" customHeight="1">
      <c r="B263" s="31" t="n"/>
      <c r="C263" s="31" t="n"/>
      <c r="D263" s="32" t="n"/>
      <c r="E263" s="31" t="n"/>
      <c r="F26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63" s="32" t="n"/>
      <c r="H263" s="33">
        <f>IF(Expenses[[#This Row],[Monthly Amount]]&lt;&gt;"",Expenses[[#This Row],[Monthly Amount]]/Income,"")</f>
        <v/>
      </c>
    </row>
    <row r="264" ht="24" customHeight="1">
      <c r="B264" s="31" t="n"/>
      <c r="C264" s="31" t="n"/>
      <c r="D264" s="32" t="n"/>
      <c r="E264" s="31" t="n"/>
      <c r="F26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64" s="32" t="n"/>
      <c r="H264" s="33">
        <f>IF(Expenses[[#This Row],[Monthly Amount]]&lt;&gt;"",Expenses[[#This Row],[Monthly Amount]]/Income,"")</f>
        <v/>
      </c>
    </row>
    <row r="265" ht="24" customHeight="1">
      <c r="B265" s="31" t="n"/>
      <c r="C265" s="31" t="n"/>
      <c r="D265" s="32" t="n"/>
      <c r="E265" s="31" t="n"/>
      <c r="F26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65" s="32" t="n"/>
      <c r="H265" s="33">
        <f>IF(Expenses[[#This Row],[Monthly Amount]]&lt;&gt;"",Expenses[[#This Row],[Monthly Amount]]/Income,"")</f>
        <v/>
      </c>
    </row>
    <row r="266" ht="24" customHeight="1">
      <c r="B266" s="31" t="n"/>
      <c r="C266" s="31" t="n"/>
      <c r="D266" s="32" t="n"/>
      <c r="E266" s="31" t="n"/>
      <c r="F26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66" s="32" t="n"/>
      <c r="H266" s="33">
        <f>IF(Expenses[[#This Row],[Monthly Amount]]&lt;&gt;"",Expenses[[#This Row],[Monthly Amount]]/Income,"")</f>
        <v/>
      </c>
    </row>
    <row r="267" ht="24" customHeight="1">
      <c r="B267" s="31" t="n"/>
      <c r="C267" s="31" t="n"/>
      <c r="D267" s="32" t="n"/>
      <c r="E267" s="31" t="n"/>
      <c r="F26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67" s="32" t="n"/>
      <c r="H267" s="33">
        <f>IF(Expenses[[#This Row],[Monthly Amount]]&lt;&gt;"",Expenses[[#This Row],[Monthly Amount]]/Income,"")</f>
        <v/>
      </c>
    </row>
    <row r="268" ht="24" customHeight="1">
      <c r="B268" s="31" t="n"/>
      <c r="C268" s="31" t="n"/>
      <c r="D268" s="32" t="n"/>
      <c r="E268" s="31" t="n"/>
      <c r="F26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68" s="32" t="n"/>
      <c r="H268" s="33">
        <f>IF(Expenses[[#This Row],[Monthly Amount]]&lt;&gt;"",Expenses[[#This Row],[Monthly Amount]]/Income,"")</f>
        <v/>
      </c>
    </row>
    <row r="269" ht="24" customHeight="1">
      <c r="B269" s="31" t="n"/>
      <c r="C269" s="31" t="n"/>
      <c r="D269" s="32" t="n"/>
      <c r="E269" s="31" t="n"/>
      <c r="F26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69" s="32" t="n"/>
      <c r="H269" s="33">
        <f>IF(Expenses[[#This Row],[Monthly Amount]]&lt;&gt;"",Expenses[[#This Row],[Monthly Amount]]/Income,"")</f>
        <v/>
      </c>
    </row>
    <row r="270" ht="24" customHeight="1">
      <c r="B270" s="31" t="n"/>
      <c r="C270" s="31" t="n"/>
      <c r="D270" s="32" t="n"/>
      <c r="E270" s="31" t="n"/>
      <c r="F27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70" s="32" t="n"/>
      <c r="H270" s="33">
        <f>IF(Expenses[[#This Row],[Monthly Amount]]&lt;&gt;"",Expenses[[#This Row],[Monthly Amount]]/Income,"")</f>
        <v/>
      </c>
    </row>
    <row r="271" ht="24" customHeight="1">
      <c r="B271" s="31" t="n"/>
      <c r="C271" s="31" t="n"/>
      <c r="D271" s="32" t="n"/>
      <c r="E271" s="31" t="n"/>
      <c r="F27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71" s="32" t="n"/>
      <c r="H271" s="33">
        <f>IF(Expenses[[#This Row],[Monthly Amount]]&lt;&gt;"",Expenses[[#This Row],[Monthly Amount]]/Income,"")</f>
        <v/>
      </c>
    </row>
    <row r="272" ht="24" customHeight="1">
      <c r="B272" s="31" t="n"/>
      <c r="C272" s="31" t="n"/>
      <c r="D272" s="32" t="n"/>
      <c r="E272" s="31" t="n"/>
      <c r="F27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72" s="32" t="n"/>
      <c r="H272" s="33">
        <f>IF(Expenses[[#This Row],[Monthly Amount]]&lt;&gt;"",Expenses[[#This Row],[Monthly Amount]]/Income,"")</f>
        <v/>
      </c>
    </row>
    <row r="273" ht="24" customHeight="1">
      <c r="B273" s="31" t="n"/>
      <c r="C273" s="31" t="n"/>
      <c r="D273" s="32" t="n"/>
      <c r="E273" s="31" t="n"/>
      <c r="F27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73" s="32" t="n"/>
      <c r="H273" s="33">
        <f>IF(Expenses[[#This Row],[Monthly Amount]]&lt;&gt;"",Expenses[[#This Row],[Monthly Amount]]/Income,"")</f>
        <v/>
      </c>
    </row>
    <row r="274" ht="24" customHeight="1">
      <c r="B274" s="31" t="n"/>
      <c r="C274" s="31" t="n"/>
      <c r="D274" s="32" t="n"/>
      <c r="E274" s="31" t="n"/>
      <c r="F27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74" s="32" t="n"/>
      <c r="H274" s="33">
        <f>IF(Expenses[[#This Row],[Monthly Amount]]&lt;&gt;"",Expenses[[#This Row],[Monthly Amount]]/Income,"")</f>
        <v/>
      </c>
    </row>
    <row r="275" ht="24" customHeight="1">
      <c r="B275" s="31" t="n"/>
      <c r="C275" s="31" t="n"/>
      <c r="D275" s="32" t="n"/>
      <c r="E275" s="31" t="n"/>
      <c r="F27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75" s="32" t="n"/>
      <c r="H275" s="33">
        <f>IF(Expenses[[#This Row],[Monthly Amount]]&lt;&gt;"",Expenses[[#This Row],[Monthly Amount]]/Income,"")</f>
        <v/>
      </c>
    </row>
    <row r="276" ht="24" customHeight="1">
      <c r="B276" s="31" t="n"/>
      <c r="C276" s="31" t="n"/>
      <c r="D276" s="32" t="n"/>
      <c r="E276" s="31" t="n"/>
      <c r="F27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76" s="32" t="n"/>
      <c r="H276" s="33">
        <f>IF(Expenses[[#This Row],[Monthly Amount]]&lt;&gt;"",Expenses[[#This Row],[Monthly Amount]]/Income,"")</f>
        <v/>
      </c>
    </row>
    <row r="277" ht="24" customHeight="1">
      <c r="B277" s="31" t="n"/>
      <c r="C277" s="31" t="n"/>
      <c r="D277" s="32" t="n"/>
      <c r="E277" s="31" t="n"/>
      <c r="F27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77" s="32" t="n"/>
      <c r="H277" s="33">
        <f>IF(Expenses[[#This Row],[Monthly Amount]]&lt;&gt;"",Expenses[[#This Row],[Monthly Amount]]/Income,"")</f>
        <v/>
      </c>
    </row>
    <row r="278" ht="24" customHeight="1">
      <c r="B278" s="31" t="n"/>
      <c r="C278" s="31" t="n"/>
      <c r="D278" s="32" t="n"/>
      <c r="E278" s="31" t="n"/>
      <c r="F27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78" s="32" t="n"/>
      <c r="H278" s="33">
        <f>IF(Expenses[[#This Row],[Monthly Amount]]&lt;&gt;"",Expenses[[#This Row],[Monthly Amount]]/Income,"")</f>
        <v/>
      </c>
    </row>
    <row r="279" ht="24" customHeight="1">
      <c r="B279" s="31" t="n"/>
      <c r="C279" s="31" t="n"/>
      <c r="D279" s="32" t="n"/>
      <c r="E279" s="31" t="n"/>
      <c r="F27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79" s="32" t="n"/>
      <c r="H279" s="33">
        <f>IF(Expenses[[#This Row],[Monthly Amount]]&lt;&gt;"",Expenses[[#This Row],[Monthly Amount]]/Income,"")</f>
        <v/>
      </c>
    </row>
    <row r="280" ht="24" customHeight="1">
      <c r="B280" s="31" t="n"/>
      <c r="C280" s="31" t="n"/>
      <c r="D280" s="32" t="n"/>
      <c r="E280" s="31" t="n"/>
      <c r="F28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80" s="32" t="n"/>
      <c r="H280" s="33">
        <f>IF(Expenses[[#This Row],[Monthly Amount]]&lt;&gt;"",Expenses[[#This Row],[Monthly Amount]]/Income,"")</f>
        <v/>
      </c>
    </row>
    <row r="281" ht="24" customHeight="1">
      <c r="B281" s="31" t="n"/>
      <c r="C281" s="31" t="n"/>
      <c r="D281" s="32" t="n"/>
      <c r="E281" s="31" t="n"/>
      <c r="F28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81" s="32" t="n"/>
      <c r="H281" s="33">
        <f>IF(Expenses[[#This Row],[Monthly Amount]]&lt;&gt;"",Expenses[[#This Row],[Monthly Amount]]/Income,"")</f>
        <v/>
      </c>
    </row>
    <row r="282" ht="24" customHeight="1">
      <c r="B282" s="31" t="n"/>
      <c r="C282" s="31" t="n"/>
      <c r="D282" s="32" t="n"/>
      <c r="E282" s="31" t="n"/>
      <c r="F28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82" s="32" t="n"/>
      <c r="H282" s="33">
        <f>IF(Expenses[[#This Row],[Monthly Amount]]&lt;&gt;"",Expenses[[#This Row],[Monthly Amount]]/Income,"")</f>
        <v/>
      </c>
    </row>
    <row r="283" ht="24" customHeight="1">
      <c r="B283" s="31" t="n"/>
      <c r="C283" s="31" t="n"/>
      <c r="D283" s="32" t="n"/>
      <c r="E283" s="31" t="n"/>
      <c r="F28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83" s="32" t="n"/>
      <c r="H283" s="33">
        <f>IF(Expenses[[#This Row],[Monthly Amount]]&lt;&gt;"",Expenses[[#This Row],[Monthly Amount]]/Income,"")</f>
        <v/>
      </c>
    </row>
    <row r="284" ht="24" customHeight="1">
      <c r="B284" s="31" t="n"/>
      <c r="C284" s="31" t="n"/>
      <c r="D284" s="32" t="n"/>
      <c r="E284" s="31" t="n"/>
      <c r="F28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84" s="32" t="n"/>
      <c r="H284" s="33">
        <f>IF(Expenses[[#This Row],[Monthly Amount]]&lt;&gt;"",Expenses[[#This Row],[Monthly Amount]]/Income,"")</f>
        <v/>
      </c>
    </row>
    <row r="285" ht="24" customHeight="1">
      <c r="B285" s="31" t="n"/>
      <c r="C285" s="31" t="n"/>
      <c r="D285" s="32" t="n"/>
      <c r="E285" s="31" t="n"/>
      <c r="F28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85" s="32" t="n"/>
      <c r="H285" s="33">
        <f>IF(Expenses[[#This Row],[Monthly Amount]]&lt;&gt;"",Expenses[[#This Row],[Monthly Amount]]/Income,"")</f>
        <v/>
      </c>
    </row>
    <row r="286" ht="24" customHeight="1">
      <c r="B286" s="31" t="n"/>
      <c r="C286" s="31" t="n"/>
      <c r="D286" s="32" t="n"/>
      <c r="E286" s="31" t="n"/>
      <c r="F28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86" s="32" t="n"/>
      <c r="H286" s="33">
        <f>IF(Expenses[[#This Row],[Monthly Amount]]&lt;&gt;"",Expenses[[#This Row],[Monthly Amount]]/Income,"")</f>
        <v/>
      </c>
    </row>
    <row r="287" ht="24" customHeight="1">
      <c r="B287" s="31" t="n"/>
      <c r="C287" s="31" t="n"/>
      <c r="D287" s="32" t="n"/>
      <c r="E287" s="31" t="n"/>
      <c r="F28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87" s="32" t="n"/>
      <c r="H287" s="33">
        <f>IF(Expenses[[#This Row],[Monthly Amount]]&lt;&gt;"",Expenses[[#This Row],[Monthly Amount]]/Income,"")</f>
        <v/>
      </c>
    </row>
    <row r="288" ht="24" customHeight="1">
      <c r="B288" s="31" t="n"/>
      <c r="C288" s="31" t="n"/>
      <c r="D288" s="32" t="n"/>
      <c r="E288" s="31" t="n"/>
      <c r="F28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88" s="32" t="n"/>
      <c r="H288" s="33">
        <f>IF(Expenses[[#This Row],[Monthly Amount]]&lt;&gt;"",Expenses[[#This Row],[Monthly Amount]]/Income,"")</f>
        <v/>
      </c>
    </row>
    <row r="289" ht="24" customHeight="1">
      <c r="B289" s="31" t="n"/>
      <c r="C289" s="31" t="n"/>
      <c r="D289" s="32" t="n"/>
      <c r="E289" s="31" t="n"/>
      <c r="F28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89" s="32" t="n"/>
      <c r="H289" s="33">
        <f>IF(Expenses[[#This Row],[Monthly Amount]]&lt;&gt;"",Expenses[[#This Row],[Monthly Amount]]/Income,"")</f>
        <v/>
      </c>
    </row>
    <row r="290" ht="24" customHeight="1">
      <c r="B290" s="31" t="n"/>
      <c r="C290" s="31" t="n"/>
      <c r="D290" s="32" t="n"/>
      <c r="E290" s="31" t="n"/>
      <c r="F29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90" s="32" t="n"/>
      <c r="H290" s="33">
        <f>IF(Expenses[[#This Row],[Monthly Amount]]&lt;&gt;"",Expenses[[#This Row],[Monthly Amount]]/Income,"")</f>
        <v/>
      </c>
    </row>
    <row r="291" ht="24" customHeight="1">
      <c r="B291" s="31" t="n"/>
      <c r="C291" s="31" t="n"/>
      <c r="D291" s="32" t="n"/>
      <c r="E291" s="31" t="n"/>
      <c r="F29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91" s="32" t="n"/>
      <c r="H291" s="33">
        <f>IF(Expenses[[#This Row],[Monthly Amount]]&lt;&gt;"",Expenses[[#This Row],[Monthly Amount]]/Income,"")</f>
        <v/>
      </c>
    </row>
    <row r="292" ht="24" customHeight="1">
      <c r="B292" s="31" t="n"/>
      <c r="C292" s="31" t="n"/>
      <c r="D292" s="32" t="n"/>
      <c r="E292" s="31" t="n"/>
      <c r="F29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92" s="32" t="n"/>
      <c r="H292" s="33">
        <f>IF(Expenses[[#This Row],[Monthly Amount]]&lt;&gt;"",Expenses[[#This Row],[Monthly Amount]]/Income,"")</f>
        <v/>
      </c>
    </row>
    <row r="293" ht="24" customHeight="1">
      <c r="B293" s="31" t="n"/>
      <c r="C293" s="31" t="n"/>
      <c r="D293" s="32" t="n"/>
      <c r="E293" s="31" t="n"/>
      <c r="F29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93" s="32" t="n"/>
      <c r="H293" s="33">
        <f>IF(Expenses[[#This Row],[Monthly Amount]]&lt;&gt;"",Expenses[[#This Row],[Monthly Amount]]/Income,"")</f>
        <v/>
      </c>
    </row>
    <row r="294" ht="24" customHeight="1">
      <c r="B294" s="31" t="n"/>
      <c r="C294" s="31" t="n"/>
      <c r="D294" s="32" t="n"/>
      <c r="E294" s="31" t="n"/>
      <c r="F29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94" s="32" t="n"/>
      <c r="H294" s="33">
        <f>IF(Expenses[[#This Row],[Monthly Amount]]&lt;&gt;"",Expenses[[#This Row],[Monthly Amount]]/Income,"")</f>
        <v/>
      </c>
    </row>
    <row r="295" ht="24" customHeight="1">
      <c r="B295" s="31" t="n"/>
      <c r="C295" s="31" t="n"/>
      <c r="D295" s="32" t="n"/>
      <c r="E295" s="31" t="n"/>
      <c r="F29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95" s="32" t="n"/>
      <c r="H295" s="33">
        <f>IF(Expenses[[#This Row],[Monthly Amount]]&lt;&gt;"",Expenses[[#This Row],[Monthly Amount]]/Income,"")</f>
        <v/>
      </c>
    </row>
    <row r="296" ht="24" customHeight="1">
      <c r="B296" s="31" t="n"/>
      <c r="C296" s="31" t="n"/>
      <c r="D296" s="32" t="n"/>
      <c r="E296" s="31" t="n"/>
      <c r="F29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96" s="32" t="n"/>
      <c r="H296" s="33">
        <f>IF(Expenses[[#This Row],[Monthly Amount]]&lt;&gt;"",Expenses[[#This Row],[Monthly Amount]]/Income,"")</f>
        <v/>
      </c>
    </row>
    <row r="297" ht="24" customHeight="1">
      <c r="B297" s="31" t="n"/>
      <c r="C297" s="31" t="n"/>
      <c r="D297" s="32" t="n"/>
      <c r="E297" s="31" t="n"/>
      <c r="F29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97" s="32" t="n"/>
      <c r="H297" s="33">
        <f>IF(Expenses[[#This Row],[Monthly Amount]]&lt;&gt;"",Expenses[[#This Row],[Monthly Amount]]/Income,"")</f>
        <v/>
      </c>
    </row>
    <row r="298" ht="24" customHeight="1">
      <c r="B298" s="31" t="n"/>
      <c r="C298" s="31" t="n"/>
      <c r="D298" s="32" t="n"/>
      <c r="E298" s="31" t="n"/>
      <c r="F29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98" s="32" t="n"/>
      <c r="H298" s="33">
        <f>IF(Expenses[[#This Row],[Monthly Amount]]&lt;&gt;"",Expenses[[#This Row],[Monthly Amount]]/Income,"")</f>
        <v/>
      </c>
    </row>
    <row r="299" ht="24" customHeight="1">
      <c r="B299" s="31" t="n"/>
      <c r="C299" s="31" t="n"/>
      <c r="D299" s="32" t="n"/>
      <c r="E299" s="31" t="n"/>
      <c r="F29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99" s="32" t="n"/>
      <c r="H299" s="33">
        <f>IF(Expenses[[#This Row],[Monthly Amount]]&lt;&gt;"",Expenses[[#This Row],[Monthly Amount]]/Income,"")</f>
        <v/>
      </c>
    </row>
    <row r="300" ht="24" customHeight="1">
      <c r="B300" s="31" t="n"/>
      <c r="C300" s="31" t="n"/>
      <c r="D300" s="32" t="n"/>
      <c r="E300" s="31" t="n"/>
      <c r="F30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00" s="32" t="n"/>
      <c r="H300" s="33">
        <f>IF(Expenses[[#This Row],[Monthly Amount]]&lt;&gt;"",Expenses[[#This Row],[Monthly Amount]]/Income,"")</f>
        <v/>
      </c>
    </row>
    <row r="301" ht="24" customHeight="1">
      <c r="B301" s="31" t="n"/>
      <c r="C301" s="31" t="n"/>
      <c r="D301" s="32" t="n"/>
      <c r="E301" s="31" t="n"/>
      <c r="F30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01" s="32" t="n"/>
      <c r="H301" s="33">
        <f>IF(Expenses[[#This Row],[Monthly Amount]]&lt;&gt;"",Expenses[[#This Row],[Monthly Amount]]/Income,"")</f>
        <v/>
      </c>
    </row>
    <row r="302" ht="24" customHeight="1">
      <c r="B302" s="31" t="n"/>
      <c r="C302" s="31" t="n"/>
      <c r="D302" s="32" t="n"/>
      <c r="E302" s="31" t="n"/>
      <c r="F30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02" s="32" t="n"/>
      <c r="H302" s="33">
        <f>IF(Expenses[[#This Row],[Monthly Amount]]&lt;&gt;"",Expenses[[#This Row],[Monthly Amount]]/Income,"")</f>
        <v/>
      </c>
    </row>
    <row r="303" ht="24" customHeight="1">
      <c r="B303" s="31" t="n"/>
      <c r="C303" s="31" t="n"/>
      <c r="D303" s="32" t="n"/>
      <c r="E303" s="31" t="n"/>
      <c r="F30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03" s="32" t="n"/>
      <c r="H303" s="33">
        <f>IF(Expenses[[#This Row],[Monthly Amount]]&lt;&gt;"",Expenses[[#This Row],[Monthly Amount]]/Income,"")</f>
        <v/>
      </c>
    </row>
    <row r="304" ht="24" customHeight="1">
      <c r="B304" s="31" t="n"/>
      <c r="C304" s="31" t="n"/>
      <c r="D304" s="32" t="n"/>
      <c r="E304" s="31" t="n"/>
      <c r="F30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04" s="32" t="n"/>
      <c r="H304" s="33">
        <f>IF(Expenses[[#This Row],[Monthly Amount]]&lt;&gt;"",Expenses[[#This Row],[Monthly Amount]]/Income,"")</f>
        <v/>
      </c>
    </row>
    <row r="305" ht="24" customHeight="1">
      <c r="B305" s="31" t="n"/>
      <c r="C305" s="31" t="n"/>
      <c r="D305" s="32" t="n"/>
      <c r="E305" s="31" t="n"/>
      <c r="F30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05" s="32" t="n"/>
      <c r="H305" s="33">
        <f>IF(Expenses[[#This Row],[Monthly Amount]]&lt;&gt;"",Expenses[[#This Row],[Monthly Amount]]/Income,"")</f>
        <v/>
      </c>
    </row>
    <row r="306" ht="24" customHeight="1">
      <c r="B306" s="31" t="n"/>
      <c r="C306" s="31" t="n"/>
      <c r="D306" s="32" t="n"/>
      <c r="E306" s="31" t="n"/>
      <c r="F30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06" s="32" t="n"/>
      <c r="H306" s="33">
        <f>IF(Expenses[[#This Row],[Monthly Amount]]&lt;&gt;"",Expenses[[#This Row],[Monthly Amount]]/Income,"")</f>
        <v/>
      </c>
    </row>
    <row r="307" ht="24" customHeight="1">
      <c r="B307" s="31" t="n"/>
      <c r="C307" s="31" t="n"/>
      <c r="D307" s="32" t="n"/>
      <c r="E307" s="31" t="n"/>
      <c r="F30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07" s="32" t="n"/>
      <c r="H307" s="33">
        <f>IF(Expenses[[#This Row],[Monthly Amount]]&lt;&gt;"",Expenses[[#This Row],[Monthly Amount]]/Income,"")</f>
        <v/>
      </c>
    </row>
    <row r="308" ht="24" customHeight="1">
      <c r="B308" s="31" t="n"/>
      <c r="C308" s="31" t="n"/>
      <c r="D308" s="32" t="n"/>
      <c r="E308" s="31" t="n"/>
      <c r="F30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08" s="32" t="n"/>
      <c r="H308" s="33">
        <f>IF(Expenses[[#This Row],[Monthly Amount]]&lt;&gt;"",Expenses[[#This Row],[Monthly Amount]]/Income,"")</f>
        <v/>
      </c>
    </row>
    <row r="309" ht="24" customHeight="1">
      <c r="B309" s="31" t="n"/>
      <c r="C309" s="31" t="n"/>
      <c r="D309" s="32" t="n"/>
      <c r="E309" s="31" t="n"/>
      <c r="F30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09" s="32" t="n"/>
      <c r="H309" s="33">
        <f>IF(Expenses[[#This Row],[Monthly Amount]]&lt;&gt;"",Expenses[[#This Row],[Monthly Amount]]/Income,"")</f>
        <v/>
      </c>
    </row>
    <row r="310" ht="24" customHeight="1">
      <c r="B310" s="31" t="n"/>
      <c r="C310" s="31" t="n"/>
      <c r="D310" s="32" t="n"/>
      <c r="E310" s="31" t="n"/>
      <c r="F31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10" s="32" t="n"/>
      <c r="H310" s="33">
        <f>IF(Expenses[[#This Row],[Monthly Amount]]&lt;&gt;"",Expenses[[#This Row],[Monthly Amount]]/Income,"")</f>
        <v/>
      </c>
    </row>
    <row r="311" ht="24" customHeight="1">
      <c r="B311" s="31" t="n"/>
      <c r="C311" s="31" t="n"/>
      <c r="D311" s="32" t="n"/>
      <c r="E311" s="31" t="n"/>
      <c r="F31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11" s="32" t="n"/>
      <c r="H311" s="33">
        <f>IF(Expenses[[#This Row],[Monthly Amount]]&lt;&gt;"",Expenses[[#This Row],[Monthly Amount]]/Income,"")</f>
        <v/>
      </c>
    </row>
    <row r="312" ht="24" customHeight="1">
      <c r="B312" s="31" t="n"/>
      <c r="C312" s="31" t="n"/>
      <c r="D312" s="32" t="n"/>
      <c r="E312" s="31" t="n"/>
      <c r="F31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12" s="32" t="n"/>
      <c r="H312" s="33">
        <f>IF(Expenses[[#This Row],[Monthly Amount]]&lt;&gt;"",Expenses[[#This Row],[Monthly Amount]]/Income,"")</f>
        <v/>
      </c>
    </row>
    <row r="313" ht="24" customHeight="1">
      <c r="B313" s="31" t="n"/>
      <c r="C313" s="31" t="n"/>
      <c r="D313" s="32" t="n"/>
      <c r="E313" s="31" t="n"/>
      <c r="F31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13" s="32" t="n"/>
      <c r="H313" s="33">
        <f>IF(Expenses[[#This Row],[Monthly Amount]]&lt;&gt;"",Expenses[[#This Row],[Monthly Amount]]/Income,"")</f>
        <v/>
      </c>
    </row>
    <row r="314" ht="24" customHeight="1">
      <c r="B314" s="31" t="n"/>
      <c r="C314" s="31" t="n"/>
      <c r="D314" s="32" t="n"/>
      <c r="E314" s="31" t="n"/>
      <c r="F31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14" s="32" t="n"/>
      <c r="H314" s="33">
        <f>IF(Expenses[[#This Row],[Monthly Amount]]&lt;&gt;"",Expenses[[#This Row],[Monthly Amount]]/Income,"")</f>
        <v/>
      </c>
    </row>
    <row r="315" ht="24" customHeight="1">
      <c r="B315" s="31" t="n"/>
      <c r="C315" s="31" t="n"/>
      <c r="D315" s="32" t="n"/>
      <c r="E315" s="31" t="n"/>
      <c r="F31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15" s="32" t="n"/>
      <c r="H315" s="33">
        <f>IF(Expenses[[#This Row],[Monthly Amount]]&lt;&gt;"",Expenses[[#This Row],[Monthly Amount]]/Income,"")</f>
        <v/>
      </c>
    </row>
    <row r="316" ht="24" customHeight="1">
      <c r="B316" s="31" t="n"/>
      <c r="C316" s="31" t="n"/>
      <c r="D316" s="32" t="n"/>
      <c r="E316" s="31" t="n"/>
      <c r="F31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16" s="32" t="n"/>
      <c r="H316" s="33">
        <f>IF(Expenses[[#This Row],[Monthly Amount]]&lt;&gt;"",Expenses[[#This Row],[Monthly Amount]]/Income,"")</f>
        <v/>
      </c>
    </row>
    <row r="317" ht="24" customHeight="1">
      <c r="B317" s="31" t="n"/>
      <c r="C317" s="31" t="n"/>
      <c r="D317" s="32" t="n"/>
      <c r="E317" s="31" t="n"/>
      <c r="F31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17" s="32" t="n"/>
      <c r="H317" s="33">
        <f>IF(Expenses[[#This Row],[Monthly Amount]]&lt;&gt;"",Expenses[[#This Row],[Monthly Amount]]/Income,"")</f>
        <v/>
      </c>
    </row>
    <row r="318" ht="24" customHeight="1">
      <c r="B318" s="31" t="n"/>
      <c r="C318" s="31" t="n"/>
      <c r="D318" s="32" t="n"/>
      <c r="E318" s="31" t="n"/>
      <c r="F31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18" s="32" t="n"/>
      <c r="H318" s="33">
        <f>IF(Expenses[[#This Row],[Monthly Amount]]&lt;&gt;"",Expenses[[#This Row],[Monthly Amount]]/Income,"")</f>
        <v/>
      </c>
    </row>
    <row r="319" ht="24" customHeight="1">
      <c r="B319" s="31" t="n"/>
      <c r="C319" s="31" t="n"/>
      <c r="D319" s="32" t="n"/>
      <c r="E319" s="31" t="n"/>
      <c r="F31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19" s="32" t="n"/>
      <c r="H319" s="33">
        <f>IF(Expenses[[#This Row],[Monthly Amount]]&lt;&gt;"",Expenses[[#This Row],[Monthly Amount]]/Income,"")</f>
        <v/>
      </c>
    </row>
    <row r="320" ht="24" customHeight="1">
      <c r="B320" s="31" t="n"/>
      <c r="C320" s="31" t="n"/>
      <c r="D320" s="32" t="n"/>
      <c r="E320" s="31" t="n"/>
      <c r="F32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20" s="32" t="n"/>
      <c r="H320" s="33">
        <f>IF(Expenses[[#This Row],[Monthly Amount]]&lt;&gt;"",Expenses[[#This Row],[Monthly Amount]]/Income,"")</f>
        <v/>
      </c>
    </row>
    <row r="321" ht="24" customHeight="1">
      <c r="B321" s="31" t="n"/>
      <c r="C321" s="31" t="n"/>
      <c r="D321" s="32" t="n"/>
      <c r="E321" s="31" t="n"/>
      <c r="F32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21" s="32" t="n"/>
      <c r="H321" s="33">
        <f>IF(Expenses[[#This Row],[Monthly Amount]]&lt;&gt;"",Expenses[[#This Row],[Monthly Amount]]/Income,"")</f>
        <v/>
      </c>
    </row>
    <row r="322" ht="24" customHeight="1">
      <c r="B322" s="31" t="n"/>
      <c r="C322" s="31" t="n"/>
      <c r="D322" s="32" t="n"/>
      <c r="E322" s="31" t="n"/>
      <c r="F32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22" s="32" t="n"/>
      <c r="H322" s="33">
        <f>IF(Expenses[[#This Row],[Monthly Amount]]&lt;&gt;"",Expenses[[#This Row],[Monthly Amount]]/Income,"")</f>
        <v/>
      </c>
    </row>
    <row r="323" ht="24" customHeight="1">
      <c r="B323" s="31" t="n"/>
      <c r="C323" s="31" t="n"/>
      <c r="D323" s="32" t="n"/>
      <c r="E323" s="31" t="n"/>
      <c r="F32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23" s="32" t="n"/>
      <c r="H323" s="33">
        <f>IF(Expenses[[#This Row],[Monthly Amount]]&lt;&gt;"",Expenses[[#This Row],[Monthly Amount]]/Income,"")</f>
        <v/>
      </c>
    </row>
    <row r="324" ht="24" customHeight="1">
      <c r="B324" s="31" t="n"/>
      <c r="C324" s="31" t="n"/>
      <c r="D324" s="32" t="n"/>
      <c r="E324" s="31" t="n"/>
      <c r="F32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24" s="32" t="n"/>
      <c r="H324" s="33">
        <f>IF(Expenses[[#This Row],[Monthly Amount]]&lt;&gt;"",Expenses[[#This Row],[Monthly Amount]]/Income,"")</f>
        <v/>
      </c>
    </row>
    <row r="325" ht="24" customHeight="1">
      <c r="B325" s="31" t="n"/>
      <c r="C325" s="31" t="n"/>
      <c r="D325" s="32" t="n"/>
      <c r="E325" s="31" t="n"/>
      <c r="F32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25" s="32" t="n"/>
      <c r="H325" s="33">
        <f>IF(Expenses[[#This Row],[Monthly Amount]]&lt;&gt;"",Expenses[[#This Row],[Monthly Amount]]/Income,"")</f>
        <v/>
      </c>
    </row>
    <row r="326" ht="24" customHeight="1">
      <c r="B326" s="31" t="n"/>
      <c r="C326" s="31" t="n"/>
      <c r="D326" s="32" t="n"/>
      <c r="E326" s="31" t="n"/>
      <c r="F32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26" s="32" t="n"/>
      <c r="H326" s="33">
        <f>IF(Expenses[[#This Row],[Monthly Amount]]&lt;&gt;"",Expenses[[#This Row],[Monthly Amount]]/Income,"")</f>
        <v/>
      </c>
    </row>
    <row r="327" ht="24" customHeight="1">
      <c r="B327" s="31" t="n"/>
      <c r="C327" s="31" t="n"/>
      <c r="D327" s="32" t="n"/>
      <c r="E327" s="31" t="n"/>
      <c r="F32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27" s="32" t="n"/>
      <c r="H327" s="33">
        <f>IF(Expenses[[#This Row],[Monthly Amount]]&lt;&gt;"",Expenses[[#This Row],[Monthly Amount]]/Income,"")</f>
        <v/>
      </c>
    </row>
    <row r="328" ht="24" customHeight="1">
      <c r="B328" s="31" t="n"/>
      <c r="C328" s="31" t="n"/>
      <c r="D328" s="32" t="n"/>
      <c r="E328" s="31" t="n"/>
      <c r="F32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28" s="32" t="n"/>
      <c r="H328" s="33">
        <f>IF(Expenses[[#This Row],[Monthly Amount]]&lt;&gt;"",Expenses[[#This Row],[Monthly Amount]]/Income,"")</f>
        <v/>
      </c>
    </row>
    <row r="329" ht="24" customHeight="1">
      <c r="B329" s="31" t="n"/>
      <c r="C329" s="31" t="n"/>
      <c r="D329" s="32" t="n"/>
      <c r="E329" s="31" t="n"/>
      <c r="F32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29" s="32" t="n"/>
      <c r="H329" s="33">
        <f>IF(Expenses[[#This Row],[Monthly Amount]]&lt;&gt;"",Expenses[[#This Row],[Monthly Amount]]/Income,"")</f>
        <v/>
      </c>
    </row>
    <row r="330" ht="24" customHeight="1">
      <c r="B330" s="31" t="n"/>
      <c r="C330" s="31" t="n"/>
      <c r="D330" s="32" t="n"/>
      <c r="E330" s="31" t="n"/>
      <c r="F33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30" s="32" t="n"/>
      <c r="H330" s="33">
        <f>IF(Expenses[[#This Row],[Monthly Amount]]&lt;&gt;"",Expenses[[#This Row],[Monthly Amount]]/Income,"")</f>
        <v/>
      </c>
    </row>
    <row r="331" ht="24" customHeight="1">
      <c r="B331" s="31" t="n"/>
      <c r="C331" s="31" t="n"/>
      <c r="D331" s="32" t="n"/>
      <c r="E331" s="31" t="n"/>
      <c r="F33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31" s="32" t="n"/>
      <c r="H331" s="33">
        <f>IF(Expenses[[#This Row],[Monthly Amount]]&lt;&gt;"",Expenses[[#This Row],[Monthly Amount]]/Income,"")</f>
        <v/>
      </c>
    </row>
    <row r="332" ht="24" customHeight="1">
      <c r="B332" s="31" t="n"/>
      <c r="C332" s="31" t="n"/>
      <c r="D332" s="32" t="n"/>
      <c r="E332" s="31" t="n"/>
      <c r="F33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32" s="32" t="n"/>
      <c r="H332" s="33">
        <f>IF(Expenses[[#This Row],[Monthly Amount]]&lt;&gt;"",Expenses[[#This Row],[Monthly Amount]]/Income,"")</f>
        <v/>
      </c>
    </row>
    <row r="333" ht="24" customHeight="1">
      <c r="B333" s="31" t="n"/>
      <c r="C333" s="31" t="n"/>
      <c r="D333" s="32" t="n"/>
      <c r="E333" s="31" t="n"/>
      <c r="F33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33" s="32" t="n"/>
      <c r="H333" s="33">
        <f>IF(Expenses[[#This Row],[Monthly Amount]]&lt;&gt;"",Expenses[[#This Row],[Monthly Amount]]/Income,"")</f>
        <v/>
      </c>
    </row>
    <row r="334" ht="24" customHeight="1">
      <c r="B334" s="31" t="n"/>
      <c r="C334" s="31" t="n"/>
      <c r="D334" s="32" t="n"/>
      <c r="E334" s="31" t="n"/>
      <c r="F33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34" s="32" t="n"/>
      <c r="H334" s="33">
        <f>IF(Expenses[[#This Row],[Monthly Amount]]&lt;&gt;"",Expenses[[#This Row],[Monthly Amount]]/Income,"")</f>
        <v/>
      </c>
    </row>
    <row r="335" ht="24" customHeight="1">
      <c r="B335" s="31" t="n"/>
      <c r="C335" s="31" t="n"/>
      <c r="D335" s="32" t="n"/>
      <c r="E335" s="31" t="n"/>
      <c r="F33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35" s="32" t="n"/>
      <c r="H335" s="33">
        <f>IF(Expenses[[#This Row],[Monthly Amount]]&lt;&gt;"",Expenses[[#This Row],[Monthly Amount]]/Income,"")</f>
        <v/>
      </c>
    </row>
    <row r="336" ht="24" customHeight="1">
      <c r="B336" s="31" t="n"/>
      <c r="C336" s="31" t="n"/>
      <c r="D336" s="32" t="n"/>
      <c r="E336" s="31" t="n"/>
      <c r="F33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36" s="32" t="n"/>
      <c r="H336" s="33">
        <f>IF(Expenses[[#This Row],[Monthly Amount]]&lt;&gt;"",Expenses[[#This Row],[Monthly Amount]]/Income,"")</f>
        <v/>
      </c>
    </row>
    <row r="337" ht="24" customHeight="1">
      <c r="B337" s="31" t="n"/>
      <c r="C337" s="31" t="n"/>
      <c r="D337" s="32" t="n"/>
      <c r="E337" s="31" t="n"/>
      <c r="F33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37" s="32" t="n"/>
      <c r="H337" s="33">
        <f>IF(Expenses[[#This Row],[Monthly Amount]]&lt;&gt;"",Expenses[[#This Row],[Monthly Amount]]/Income,"")</f>
        <v/>
      </c>
    </row>
    <row r="338" ht="24" customHeight="1">
      <c r="B338" s="31" t="n"/>
      <c r="C338" s="31" t="n"/>
      <c r="D338" s="32" t="n"/>
      <c r="E338" s="31" t="n"/>
      <c r="F33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38" s="32" t="n"/>
      <c r="H338" s="33">
        <f>IF(Expenses[[#This Row],[Monthly Amount]]&lt;&gt;"",Expenses[[#This Row],[Monthly Amount]]/Income,"")</f>
        <v/>
      </c>
    </row>
    <row r="339" ht="24" customHeight="1">
      <c r="B339" s="31" t="n"/>
      <c r="C339" s="31" t="n"/>
      <c r="D339" s="32" t="n"/>
      <c r="E339" s="31" t="n"/>
      <c r="F33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39" s="32" t="n"/>
      <c r="H339" s="33">
        <f>IF(Expenses[[#This Row],[Monthly Amount]]&lt;&gt;"",Expenses[[#This Row],[Monthly Amount]]/Income,"")</f>
        <v/>
      </c>
    </row>
    <row r="340" ht="24" customHeight="1">
      <c r="B340" s="31" t="n"/>
      <c r="C340" s="31" t="n"/>
      <c r="D340" s="32" t="n"/>
      <c r="E340" s="31" t="n"/>
      <c r="F34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40" s="32" t="n"/>
      <c r="H340" s="33">
        <f>IF(Expenses[[#This Row],[Monthly Amount]]&lt;&gt;"",Expenses[[#This Row],[Monthly Amount]]/Income,"")</f>
        <v/>
      </c>
    </row>
    <row r="341" ht="24" customHeight="1">
      <c r="B341" s="31" t="n"/>
      <c r="C341" s="31" t="n"/>
      <c r="D341" s="32" t="n"/>
      <c r="E341" s="31" t="n"/>
      <c r="F34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41" s="32" t="n"/>
      <c r="H341" s="33">
        <f>IF(Expenses[[#This Row],[Monthly Amount]]&lt;&gt;"",Expenses[[#This Row],[Monthly Amount]]/Income,"")</f>
        <v/>
      </c>
    </row>
    <row r="342" ht="24" customHeight="1">
      <c r="B342" s="31" t="n"/>
      <c r="C342" s="31" t="n"/>
      <c r="D342" s="32" t="n"/>
      <c r="E342" s="31" t="n"/>
      <c r="F34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42" s="32" t="n"/>
      <c r="H342" s="33">
        <f>IF(Expenses[[#This Row],[Monthly Amount]]&lt;&gt;"",Expenses[[#This Row],[Monthly Amount]]/Income,"")</f>
        <v/>
      </c>
    </row>
    <row r="343" ht="24" customHeight="1">
      <c r="B343" s="31" t="n"/>
      <c r="C343" s="31" t="n"/>
      <c r="D343" s="32" t="n"/>
      <c r="E343" s="31" t="n"/>
      <c r="F34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43" s="32" t="n"/>
      <c r="H343" s="33">
        <f>IF(Expenses[[#This Row],[Monthly Amount]]&lt;&gt;"",Expenses[[#This Row],[Monthly Amount]]/Income,"")</f>
        <v/>
      </c>
    </row>
    <row r="344" ht="24" customHeight="1">
      <c r="B344" s="31" t="n"/>
      <c r="C344" s="31" t="n"/>
      <c r="D344" s="32" t="n"/>
      <c r="E344" s="31" t="n"/>
      <c r="F34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44" s="32" t="n"/>
      <c r="H344" s="33">
        <f>IF(Expenses[[#This Row],[Monthly Amount]]&lt;&gt;"",Expenses[[#This Row],[Monthly Amount]]/Income,"")</f>
        <v/>
      </c>
    </row>
    <row r="345" ht="24" customHeight="1">
      <c r="B345" s="31" t="n"/>
      <c r="C345" s="31" t="n"/>
      <c r="D345" s="32" t="n"/>
      <c r="E345" s="31" t="n"/>
      <c r="F34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45" s="32" t="n"/>
      <c r="H345" s="33">
        <f>IF(Expenses[[#This Row],[Monthly Amount]]&lt;&gt;"",Expenses[[#This Row],[Monthly Amount]]/Income,"")</f>
        <v/>
      </c>
    </row>
    <row r="346" ht="24" customHeight="1">
      <c r="B346" s="31" t="n"/>
      <c r="C346" s="31" t="n"/>
      <c r="D346" s="32" t="n"/>
      <c r="E346" s="31" t="n"/>
      <c r="F34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46" s="32" t="n"/>
      <c r="H346" s="33">
        <f>IF(Expenses[[#This Row],[Monthly Amount]]&lt;&gt;"",Expenses[[#This Row],[Monthly Amount]]/Income,"")</f>
        <v/>
      </c>
    </row>
    <row r="347" ht="24" customHeight="1">
      <c r="B347" s="31" t="n"/>
      <c r="C347" s="31" t="n"/>
      <c r="D347" s="32" t="n"/>
      <c r="E347" s="31" t="n"/>
      <c r="F34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47" s="32" t="n"/>
      <c r="H347" s="33">
        <f>IF(Expenses[[#This Row],[Monthly Amount]]&lt;&gt;"",Expenses[[#This Row],[Monthly Amount]]/Income,"")</f>
        <v/>
      </c>
    </row>
    <row r="348" ht="24" customHeight="1">
      <c r="B348" s="31" t="n"/>
      <c r="C348" s="31" t="n"/>
      <c r="D348" s="32" t="n"/>
      <c r="E348" s="31" t="n"/>
      <c r="F34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48" s="32" t="n"/>
      <c r="H348" s="33">
        <f>IF(Expenses[[#This Row],[Monthly Amount]]&lt;&gt;"",Expenses[[#This Row],[Monthly Amount]]/Income,"")</f>
        <v/>
      </c>
    </row>
    <row r="349" ht="24" customHeight="1">
      <c r="B349" s="31" t="n"/>
      <c r="C349" s="31" t="n"/>
      <c r="D349" s="32" t="n"/>
      <c r="E349" s="31" t="n"/>
      <c r="F34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49" s="32" t="n"/>
      <c r="H349" s="33">
        <f>IF(Expenses[[#This Row],[Monthly Amount]]&lt;&gt;"",Expenses[[#This Row],[Monthly Amount]]/Income,"")</f>
        <v/>
      </c>
    </row>
    <row r="350" ht="24" customHeight="1">
      <c r="B350" s="31" t="n"/>
      <c r="C350" s="31" t="n"/>
      <c r="D350" s="32" t="n"/>
      <c r="E350" s="31" t="n"/>
      <c r="F35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50" s="32" t="n"/>
      <c r="H350" s="33">
        <f>IF(Expenses[[#This Row],[Monthly Amount]]&lt;&gt;"",Expenses[[#This Row],[Monthly Amount]]/Income,"")</f>
        <v/>
      </c>
    </row>
    <row r="351" ht="24" customHeight="1">
      <c r="B351" s="31" t="n"/>
      <c r="C351" s="31" t="n"/>
      <c r="D351" s="32" t="n"/>
      <c r="E351" s="31" t="n"/>
      <c r="F35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51" s="32" t="n"/>
      <c r="H351" s="33">
        <f>IF(Expenses[[#This Row],[Monthly Amount]]&lt;&gt;"",Expenses[[#This Row],[Monthly Amount]]/Income,"")</f>
        <v/>
      </c>
    </row>
    <row r="352" ht="24" customHeight="1">
      <c r="B352" s="31" t="n"/>
      <c r="C352" s="31" t="n"/>
      <c r="D352" s="32" t="n"/>
      <c r="E352" s="31" t="n"/>
      <c r="F35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52" s="32" t="n"/>
      <c r="H352" s="33">
        <f>IF(Expenses[[#This Row],[Monthly Amount]]&lt;&gt;"",Expenses[[#This Row],[Monthly Amount]]/Income,"")</f>
        <v/>
      </c>
    </row>
    <row r="353" ht="24" customHeight="1">
      <c r="B353" s="31" t="n"/>
      <c r="C353" s="31" t="n"/>
      <c r="D353" s="32" t="n"/>
      <c r="E353" s="31" t="n"/>
      <c r="F35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53" s="32" t="n"/>
      <c r="H353" s="33">
        <f>IF(Expenses[[#This Row],[Monthly Amount]]&lt;&gt;"",Expenses[[#This Row],[Monthly Amount]]/Income,"")</f>
        <v/>
      </c>
    </row>
    <row r="354" ht="24" customHeight="1">
      <c r="B354" s="31" t="n"/>
      <c r="C354" s="31" t="n"/>
      <c r="D354" s="32" t="n"/>
      <c r="E354" s="31" t="n"/>
      <c r="F35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54" s="32" t="n"/>
      <c r="H354" s="33">
        <f>IF(Expenses[[#This Row],[Monthly Amount]]&lt;&gt;"",Expenses[[#This Row],[Monthly Amount]]/Income,"")</f>
        <v/>
      </c>
    </row>
    <row r="355" ht="24" customHeight="1">
      <c r="B355" s="31" t="n"/>
      <c r="C355" s="31" t="n"/>
      <c r="D355" s="32" t="n"/>
      <c r="E355" s="31" t="n"/>
      <c r="F35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55" s="32" t="n"/>
      <c r="H355" s="33">
        <f>IF(Expenses[[#This Row],[Monthly Amount]]&lt;&gt;"",Expenses[[#This Row],[Monthly Amount]]/Income,"")</f>
        <v/>
      </c>
    </row>
    <row r="356" ht="24" customHeight="1">
      <c r="B356" s="31" t="n"/>
      <c r="C356" s="31" t="n"/>
      <c r="D356" s="32" t="n"/>
      <c r="E356" s="31" t="n"/>
      <c r="F35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56" s="32" t="n"/>
      <c r="H356" s="33">
        <f>IF(Expenses[[#This Row],[Monthly Amount]]&lt;&gt;"",Expenses[[#This Row],[Monthly Amount]]/Income,"")</f>
        <v/>
      </c>
    </row>
    <row r="357" ht="24" customHeight="1">
      <c r="B357" s="31" t="n"/>
      <c r="C357" s="31" t="n"/>
      <c r="D357" s="32" t="n"/>
      <c r="E357" s="31" t="n"/>
      <c r="F35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57" s="32" t="n"/>
      <c r="H357" s="33">
        <f>IF(Expenses[[#This Row],[Monthly Amount]]&lt;&gt;"",Expenses[[#This Row],[Monthly Amount]]/Income,"")</f>
        <v/>
      </c>
    </row>
    <row r="358" ht="24" customHeight="1">
      <c r="B358" s="31" t="n"/>
      <c r="C358" s="31" t="n"/>
      <c r="D358" s="32" t="n"/>
      <c r="E358" s="31" t="n"/>
      <c r="F35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58" s="32" t="n"/>
      <c r="H358" s="33">
        <f>IF(Expenses[[#This Row],[Monthly Amount]]&lt;&gt;"",Expenses[[#This Row],[Monthly Amount]]/Income,"")</f>
        <v/>
      </c>
    </row>
    <row r="359" ht="24" customHeight="1">
      <c r="B359" s="31" t="n"/>
      <c r="C359" s="31" t="n"/>
      <c r="D359" s="32" t="n"/>
      <c r="E359" s="31" t="n"/>
      <c r="F35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59" s="32" t="n"/>
      <c r="H359" s="33">
        <f>IF(Expenses[[#This Row],[Monthly Amount]]&lt;&gt;"",Expenses[[#This Row],[Monthly Amount]]/Income,"")</f>
        <v/>
      </c>
    </row>
    <row r="360" ht="24" customHeight="1">
      <c r="B360" s="31" t="n"/>
      <c r="C360" s="31" t="n"/>
      <c r="D360" s="32" t="n"/>
      <c r="E360" s="31" t="n"/>
      <c r="F36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60" s="32" t="n"/>
      <c r="H360" s="33">
        <f>IF(Expenses[[#This Row],[Monthly Amount]]&lt;&gt;"",Expenses[[#This Row],[Monthly Amount]]/Income,"")</f>
        <v/>
      </c>
    </row>
    <row r="361" ht="24" customHeight="1">
      <c r="B361" s="31" t="n"/>
      <c r="C361" s="31" t="n"/>
      <c r="D361" s="32" t="n"/>
      <c r="E361" s="31" t="n"/>
      <c r="F36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61" s="32" t="n"/>
      <c r="H361" s="33">
        <f>IF(Expenses[[#This Row],[Monthly Amount]]&lt;&gt;"",Expenses[[#This Row],[Monthly Amount]]/Income,"")</f>
        <v/>
      </c>
    </row>
    <row r="362" ht="24" customHeight="1">
      <c r="B362" s="31" t="n"/>
      <c r="C362" s="31" t="n"/>
      <c r="D362" s="32" t="n"/>
      <c r="E362" s="31" t="n"/>
      <c r="F36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62" s="32" t="n"/>
      <c r="H362" s="33">
        <f>IF(Expenses[[#This Row],[Monthly Amount]]&lt;&gt;"",Expenses[[#This Row],[Monthly Amount]]/Income,"")</f>
        <v/>
      </c>
    </row>
    <row r="363" ht="24" customHeight="1">
      <c r="B363" s="31" t="n"/>
      <c r="C363" s="31" t="n"/>
      <c r="D363" s="32" t="n"/>
      <c r="E363" s="31" t="n"/>
      <c r="F36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63" s="32" t="n"/>
      <c r="H363" s="33">
        <f>IF(Expenses[[#This Row],[Monthly Amount]]&lt;&gt;"",Expenses[[#This Row],[Monthly Amount]]/Income,"")</f>
        <v/>
      </c>
    </row>
    <row r="364" ht="24" customHeight="1">
      <c r="B364" s="31" t="n"/>
      <c r="C364" s="31" t="n"/>
      <c r="D364" s="32" t="n"/>
      <c r="E364" s="31" t="n"/>
      <c r="F36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64" s="32" t="n"/>
      <c r="H364" s="33">
        <f>IF(Expenses[[#This Row],[Monthly Amount]]&lt;&gt;"",Expenses[[#This Row],[Monthly Amount]]/Income,"")</f>
        <v/>
      </c>
    </row>
    <row r="365" ht="24" customHeight="1">
      <c r="B365" s="31" t="n"/>
      <c r="C365" s="31" t="n"/>
      <c r="D365" s="32" t="n"/>
      <c r="E365" s="31" t="n"/>
      <c r="F36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65" s="32" t="n"/>
      <c r="H365" s="33">
        <f>IF(Expenses[[#This Row],[Monthly Amount]]&lt;&gt;"",Expenses[[#This Row],[Monthly Amount]]/Income,"")</f>
        <v/>
      </c>
    </row>
    <row r="366" ht="24" customHeight="1">
      <c r="B366" s="31" t="n"/>
      <c r="C366" s="31" t="n"/>
      <c r="D366" s="32" t="n"/>
      <c r="E366" s="31" t="n"/>
      <c r="F36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66" s="32" t="n"/>
      <c r="H366" s="33">
        <f>IF(Expenses[[#This Row],[Monthly Amount]]&lt;&gt;"",Expenses[[#This Row],[Monthly Amount]]/Income,"")</f>
        <v/>
      </c>
    </row>
    <row r="367" ht="24" customHeight="1">
      <c r="B367" s="31" t="n"/>
      <c r="C367" s="31" t="n"/>
      <c r="D367" s="32" t="n"/>
      <c r="E367" s="31" t="n"/>
      <c r="F36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67" s="32" t="n"/>
      <c r="H367" s="33">
        <f>IF(Expenses[[#This Row],[Monthly Amount]]&lt;&gt;"",Expenses[[#This Row],[Monthly Amount]]/Income,"")</f>
        <v/>
      </c>
    </row>
    <row r="368" ht="24" customHeight="1">
      <c r="B368" s="31" t="n"/>
      <c r="C368" s="31" t="n"/>
      <c r="D368" s="32" t="n"/>
      <c r="E368" s="31" t="n"/>
      <c r="F36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68" s="32" t="n"/>
      <c r="H368" s="33">
        <f>IF(Expenses[[#This Row],[Monthly Amount]]&lt;&gt;"",Expenses[[#This Row],[Monthly Amount]]/Income,"")</f>
        <v/>
      </c>
    </row>
    <row r="369" ht="24" customHeight="1">
      <c r="B369" s="31" t="n"/>
      <c r="C369" s="31" t="n"/>
      <c r="D369" s="32" t="n"/>
      <c r="E369" s="31" t="n"/>
      <c r="F36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69" s="32" t="n"/>
      <c r="H369" s="33">
        <f>IF(Expenses[[#This Row],[Monthly Amount]]&lt;&gt;"",Expenses[[#This Row],[Monthly Amount]]/Income,"")</f>
        <v/>
      </c>
    </row>
    <row r="370" ht="24" customHeight="1">
      <c r="B370" s="31" t="n"/>
      <c r="C370" s="31" t="n"/>
      <c r="D370" s="32" t="n"/>
      <c r="E370" s="31" t="n"/>
      <c r="F37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70" s="32" t="n"/>
      <c r="H370" s="33">
        <f>IF(Expenses[[#This Row],[Monthly Amount]]&lt;&gt;"",Expenses[[#This Row],[Monthly Amount]]/Income,"")</f>
        <v/>
      </c>
    </row>
    <row r="371" ht="24" customHeight="1">
      <c r="B371" s="31" t="n"/>
      <c r="C371" s="31" t="n"/>
      <c r="D371" s="32" t="n"/>
      <c r="E371" s="31" t="n"/>
      <c r="F37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71" s="32" t="n"/>
      <c r="H371" s="33">
        <f>IF(Expenses[[#This Row],[Monthly Amount]]&lt;&gt;"",Expenses[[#This Row],[Monthly Amount]]/Income,"")</f>
        <v/>
      </c>
    </row>
    <row r="372" ht="24" customHeight="1">
      <c r="B372" s="31" t="n"/>
      <c r="C372" s="31" t="n"/>
      <c r="D372" s="32" t="n"/>
      <c r="E372" s="31" t="n"/>
      <c r="F37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72" s="32" t="n"/>
      <c r="H372" s="33">
        <f>IF(Expenses[[#This Row],[Monthly Amount]]&lt;&gt;"",Expenses[[#This Row],[Monthly Amount]]/Income,"")</f>
        <v/>
      </c>
    </row>
    <row r="373" ht="24" customHeight="1">
      <c r="B373" s="31" t="n"/>
      <c r="C373" s="31" t="n"/>
      <c r="D373" s="32" t="n"/>
      <c r="E373" s="31" t="n"/>
      <c r="F37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73" s="32" t="n"/>
      <c r="H373" s="33">
        <f>IF(Expenses[[#This Row],[Monthly Amount]]&lt;&gt;"",Expenses[[#This Row],[Monthly Amount]]/Income,"")</f>
        <v/>
      </c>
    </row>
    <row r="374" ht="24" customHeight="1">
      <c r="B374" s="31" t="n"/>
      <c r="C374" s="31" t="n"/>
      <c r="D374" s="32" t="n"/>
      <c r="E374" s="31" t="n"/>
      <c r="F37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74" s="32" t="n"/>
      <c r="H374" s="33">
        <f>IF(Expenses[[#This Row],[Monthly Amount]]&lt;&gt;"",Expenses[[#This Row],[Monthly Amount]]/Income,"")</f>
        <v/>
      </c>
    </row>
    <row r="375" ht="24" customHeight="1">
      <c r="B375" s="31" t="n"/>
      <c r="C375" s="31" t="n"/>
      <c r="D375" s="32" t="n"/>
      <c r="E375" s="31" t="n"/>
      <c r="F37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75" s="32" t="n"/>
      <c r="H375" s="33">
        <f>IF(Expenses[[#This Row],[Monthly Amount]]&lt;&gt;"",Expenses[[#This Row],[Monthly Amount]]/Income,"")</f>
        <v/>
      </c>
    </row>
    <row r="376" ht="24" customHeight="1">
      <c r="B376" s="31" t="n"/>
      <c r="C376" s="31" t="n"/>
      <c r="D376" s="32" t="n"/>
      <c r="E376" s="31" t="n"/>
      <c r="F37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76" s="32" t="n"/>
      <c r="H376" s="33">
        <f>IF(Expenses[[#This Row],[Monthly Amount]]&lt;&gt;"",Expenses[[#This Row],[Monthly Amount]]/Income,"")</f>
        <v/>
      </c>
    </row>
    <row r="377" ht="24" customHeight="1">
      <c r="B377" s="31" t="n"/>
      <c r="C377" s="31" t="n"/>
      <c r="D377" s="32" t="n"/>
      <c r="E377" s="31" t="n"/>
      <c r="F37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77" s="32" t="n"/>
      <c r="H377" s="33">
        <f>IF(Expenses[[#This Row],[Monthly Amount]]&lt;&gt;"",Expenses[[#This Row],[Monthly Amount]]/Income,"")</f>
        <v/>
      </c>
    </row>
    <row r="378" ht="24" customHeight="1">
      <c r="B378" s="31" t="n"/>
      <c r="C378" s="31" t="n"/>
      <c r="D378" s="32" t="n"/>
      <c r="E378" s="31" t="n"/>
      <c r="F37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78" s="32" t="n"/>
      <c r="H378" s="33">
        <f>IF(Expenses[[#This Row],[Monthly Amount]]&lt;&gt;"",Expenses[[#This Row],[Monthly Amount]]/Income,"")</f>
        <v/>
      </c>
    </row>
    <row r="379" ht="24" customHeight="1">
      <c r="B379" s="31" t="n"/>
      <c r="C379" s="31" t="n"/>
      <c r="D379" s="32" t="n"/>
      <c r="E379" s="31" t="n"/>
      <c r="F37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79" s="32" t="n"/>
      <c r="H379" s="33">
        <f>IF(Expenses[[#This Row],[Monthly Amount]]&lt;&gt;"",Expenses[[#This Row],[Monthly Amount]]/Income,"")</f>
        <v/>
      </c>
    </row>
    <row r="380" ht="24" customHeight="1">
      <c r="B380" s="31" t="n"/>
      <c r="C380" s="31" t="n"/>
      <c r="D380" s="32" t="n"/>
      <c r="E380" s="31" t="n"/>
      <c r="F38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80" s="32" t="n"/>
      <c r="H380" s="33">
        <f>IF(Expenses[[#This Row],[Monthly Amount]]&lt;&gt;"",Expenses[[#This Row],[Monthly Amount]]/Income,"")</f>
        <v/>
      </c>
    </row>
    <row r="381" ht="24" customHeight="1">
      <c r="B381" s="31" t="n"/>
      <c r="C381" s="31" t="n"/>
      <c r="D381" s="32" t="n"/>
      <c r="E381" s="31" t="n"/>
      <c r="F38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81" s="32" t="n"/>
      <c r="H381" s="33">
        <f>IF(Expenses[[#This Row],[Monthly Amount]]&lt;&gt;"",Expenses[[#This Row],[Monthly Amount]]/Income,"")</f>
        <v/>
      </c>
    </row>
    <row r="382" ht="24" customHeight="1">
      <c r="B382" s="31" t="n"/>
      <c r="C382" s="31" t="n"/>
      <c r="D382" s="32" t="n"/>
      <c r="E382" s="31" t="n"/>
      <c r="F38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82" s="32" t="n"/>
      <c r="H382" s="33">
        <f>IF(Expenses[[#This Row],[Monthly Amount]]&lt;&gt;"",Expenses[[#This Row],[Monthly Amount]]/Income,"")</f>
        <v/>
      </c>
    </row>
    <row r="383" ht="24" customHeight="1">
      <c r="B383" s="31" t="n"/>
      <c r="C383" s="31" t="n"/>
      <c r="D383" s="32" t="n"/>
      <c r="E383" s="31" t="n"/>
      <c r="F38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83" s="32" t="n"/>
      <c r="H383" s="33">
        <f>IF(Expenses[[#This Row],[Monthly Amount]]&lt;&gt;"",Expenses[[#This Row],[Monthly Amount]]/Income,"")</f>
        <v/>
      </c>
    </row>
    <row r="384" ht="24" customHeight="1">
      <c r="B384" s="31" t="n"/>
      <c r="C384" s="31" t="n"/>
      <c r="D384" s="32" t="n"/>
      <c r="E384" s="31" t="n"/>
      <c r="F38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84" s="32" t="n"/>
      <c r="H384" s="33">
        <f>IF(Expenses[[#This Row],[Monthly Amount]]&lt;&gt;"",Expenses[[#This Row],[Monthly Amount]]/Income,"")</f>
        <v/>
      </c>
    </row>
    <row r="385" ht="24" customHeight="1">
      <c r="B385" s="31" t="n"/>
      <c r="C385" s="31" t="n"/>
      <c r="D385" s="32" t="n"/>
      <c r="E385" s="31" t="n"/>
      <c r="F38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85" s="32" t="n"/>
      <c r="H385" s="33">
        <f>IF(Expenses[[#This Row],[Monthly Amount]]&lt;&gt;"",Expenses[[#This Row],[Monthly Amount]]/Income,"")</f>
        <v/>
      </c>
    </row>
    <row r="386" ht="24" customHeight="1">
      <c r="B386" s="31" t="n"/>
      <c r="C386" s="31" t="n"/>
      <c r="D386" s="32" t="n"/>
      <c r="E386" s="31" t="n"/>
      <c r="F38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86" s="32" t="n"/>
      <c r="H386" s="33">
        <f>IF(Expenses[[#This Row],[Monthly Amount]]&lt;&gt;"",Expenses[[#This Row],[Monthly Amount]]/Income,"")</f>
        <v/>
      </c>
    </row>
    <row r="387" ht="24" customHeight="1">
      <c r="B387" s="31" t="n"/>
      <c r="C387" s="31" t="n"/>
      <c r="D387" s="32" t="n"/>
      <c r="E387" s="31" t="n"/>
      <c r="F38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87" s="32" t="n"/>
      <c r="H387" s="33">
        <f>IF(Expenses[[#This Row],[Monthly Amount]]&lt;&gt;"",Expenses[[#This Row],[Monthly Amount]]/Income,"")</f>
        <v/>
      </c>
    </row>
    <row r="388" ht="24" customHeight="1">
      <c r="B388" s="31" t="n"/>
      <c r="C388" s="31" t="n"/>
      <c r="D388" s="32" t="n"/>
      <c r="E388" s="31" t="n"/>
      <c r="F38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88" s="32" t="n"/>
      <c r="H388" s="33">
        <f>IF(Expenses[[#This Row],[Monthly Amount]]&lt;&gt;"",Expenses[[#This Row],[Monthly Amount]]/Income,"")</f>
        <v/>
      </c>
    </row>
    <row r="389" ht="24" customHeight="1">
      <c r="B389" s="31" t="n"/>
      <c r="C389" s="31" t="n"/>
      <c r="D389" s="32" t="n"/>
      <c r="E389" s="31" t="n"/>
      <c r="F38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89" s="32" t="n"/>
      <c r="H389" s="33">
        <f>IF(Expenses[[#This Row],[Monthly Amount]]&lt;&gt;"",Expenses[[#This Row],[Monthly Amount]]/Income,"")</f>
        <v/>
      </c>
    </row>
    <row r="390" ht="24" customHeight="1">
      <c r="B390" s="31" t="n"/>
      <c r="C390" s="31" t="n"/>
      <c r="D390" s="32" t="n"/>
      <c r="E390" s="31" t="n"/>
      <c r="F39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90" s="32" t="n"/>
      <c r="H390" s="33">
        <f>IF(Expenses[[#This Row],[Monthly Amount]]&lt;&gt;"",Expenses[[#This Row],[Monthly Amount]]/Income,"")</f>
        <v/>
      </c>
    </row>
    <row r="391" ht="24" customHeight="1">
      <c r="B391" s="31" t="n"/>
      <c r="C391" s="31" t="n"/>
      <c r="D391" s="32" t="n"/>
      <c r="E391" s="31" t="n"/>
      <c r="F39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91" s="32" t="n"/>
      <c r="H391" s="33">
        <f>IF(Expenses[[#This Row],[Monthly Amount]]&lt;&gt;"",Expenses[[#This Row],[Monthly Amount]]/Income,"")</f>
        <v/>
      </c>
    </row>
    <row r="392" ht="24" customHeight="1">
      <c r="B392" s="31" t="n"/>
      <c r="C392" s="31" t="n"/>
      <c r="D392" s="32" t="n"/>
      <c r="E392" s="31" t="n"/>
      <c r="F39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92" s="32" t="n"/>
      <c r="H392" s="33">
        <f>IF(Expenses[[#This Row],[Monthly Amount]]&lt;&gt;"",Expenses[[#This Row],[Monthly Amount]]/Income,"")</f>
        <v/>
      </c>
    </row>
    <row r="393" ht="24" customHeight="1">
      <c r="B393" s="31" t="n"/>
      <c r="C393" s="31" t="n"/>
      <c r="D393" s="32" t="n"/>
      <c r="E393" s="31" t="n"/>
      <c r="F39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93" s="32" t="n"/>
      <c r="H393" s="33">
        <f>IF(Expenses[[#This Row],[Monthly Amount]]&lt;&gt;"",Expenses[[#This Row],[Monthly Amount]]/Income,"")</f>
        <v/>
      </c>
    </row>
    <row r="394" ht="24" customHeight="1">
      <c r="B394" s="31" t="n"/>
      <c r="C394" s="31" t="n"/>
      <c r="D394" s="32" t="n"/>
      <c r="E394" s="31" t="n"/>
      <c r="F39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94" s="32" t="n"/>
      <c r="H394" s="33">
        <f>IF(Expenses[[#This Row],[Monthly Amount]]&lt;&gt;"",Expenses[[#This Row],[Monthly Amount]]/Income,"")</f>
        <v/>
      </c>
    </row>
    <row r="395" ht="24" customHeight="1">
      <c r="B395" s="31" t="n"/>
      <c r="C395" s="31" t="n"/>
      <c r="D395" s="32" t="n"/>
      <c r="E395" s="31" t="n"/>
      <c r="F39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95" s="32" t="n"/>
      <c r="H395" s="33">
        <f>IF(Expenses[[#This Row],[Monthly Amount]]&lt;&gt;"",Expenses[[#This Row],[Monthly Amount]]/Income,"")</f>
        <v/>
      </c>
    </row>
    <row r="396" ht="24" customHeight="1">
      <c r="B396" s="31" t="n"/>
      <c r="C396" s="31" t="n"/>
      <c r="D396" s="32" t="n"/>
      <c r="E396" s="31" t="n"/>
      <c r="F39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96" s="32" t="n"/>
      <c r="H396" s="33">
        <f>IF(Expenses[[#This Row],[Monthly Amount]]&lt;&gt;"",Expenses[[#This Row],[Monthly Amount]]/Income,"")</f>
        <v/>
      </c>
    </row>
    <row r="397" ht="24" customHeight="1">
      <c r="B397" s="31" t="n"/>
      <c r="C397" s="31" t="n"/>
      <c r="D397" s="32" t="n"/>
      <c r="E397" s="31" t="n"/>
      <c r="F39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97" s="32" t="n"/>
      <c r="H397" s="33">
        <f>IF(Expenses[[#This Row],[Monthly Amount]]&lt;&gt;"",Expenses[[#This Row],[Monthly Amount]]/Income,"")</f>
        <v/>
      </c>
    </row>
    <row r="398" ht="24" customHeight="1">
      <c r="B398" s="31" t="n"/>
      <c r="C398" s="31" t="n"/>
      <c r="D398" s="32" t="n"/>
      <c r="E398" s="31" t="n"/>
      <c r="F39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98" s="32" t="n"/>
      <c r="H398" s="33">
        <f>IF(Expenses[[#This Row],[Monthly Amount]]&lt;&gt;"",Expenses[[#This Row],[Monthly Amount]]/Income,"")</f>
        <v/>
      </c>
    </row>
    <row r="399" ht="24" customHeight="1">
      <c r="B399" s="31" t="n"/>
      <c r="C399" s="31" t="n"/>
      <c r="D399" s="32" t="n"/>
      <c r="E399" s="31" t="n"/>
      <c r="F39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99" s="32" t="n"/>
      <c r="H399" s="33">
        <f>IF(Expenses[[#This Row],[Monthly Amount]]&lt;&gt;"",Expenses[[#This Row],[Monthly Amount]]/Income,"")</f>
        <v/>
      </c>
    </row>
    <row r="400" ht="24" customHeight="1">
      <c r="B400" s="31" t="n"/>
      <c r="C400" s="31" t="n"/>
      <c r="D400" s="32" t="n"/>
      <c r="E400" s="31" t="n"/>
      <c r="F40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00" s="32" t="n"/>
      <c r="H400" s="33">
        <f>IF(Expenses[[#This Row],[Monthly Amount]]&lt;&gt;"",Expenses[[#This Row],[Monthly Amount]]/Income,"")</f>
        <v/>
      </c>
    </row>
    <row r="401" ht="24" customHeight="1">
      <c r="B401" s="31" t="n"/>
      <c r="C401" s="31" t="n"/>
      <c r="D401" s="32" t="n"/>
      <c r="E401" s="31" t="n"/>
      <c r="F40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01" s="32" t="n"/>
      <c r="H401" s="33">
        <f>IF(Expenses[[#This Row],[Monthly Amount]]&lt;&gt;"",Expenses[[#This Row],[Monthly Amount]]/Income,"")</f>
        <v/>
      </c>
    </row>
    <row r="402" ht="24" customHeight="1">
      <c r="B402" s="31" t="n"/>
      <c r="C402" s="31" t="n"/>
      <c r="D402" s="32" t="n"/>
      <c r="E402" s="31" t="n"/>
      <c r="F40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02" s="32" t="n"/>
      <c r="H402" s="33">
        <f>IF(Expenses[[#This Row],[Monthly Amount]]&lt;&gt;"",Expenses[[#This Row],[Monthly Amount]]/Income,"")</f>
        <v/>
      </c>
    </row>
    <row r="403" ht="24" customHeight="1">
      <c r="B403" s="31" t="n"/>
      <c r="C403" s="31" t="n"/>
      <c r="D403" s="32" t="n"/>
      <c r="E403" s="31" t="n"/>
      <c r="F40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03" s="32" t="n"/>
      <c r="H403" s="33">
        <f>IF(Expenses[[#This Row],[Monthly Amount]]&lt;&gt;"",Expenses[[#This Row],[Monthly Amount]]/Income,"")</f>
        <v/>
      </c>
    </row>
    <row r="404" ht="24" customHeight="1">
      <c r="B404" s="31" t="n"/>
      <c r="C404" s="31" t="n"/>
      <c r="D404" s="32" t="n"/>
      <c r="E404" s="31" t="n"/>
      <c r="F40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04" s="32" t="n"/>
      <c r="H404" s="33">
        <f>IF(Expenses[[#This Row],[Monthly Amount]]&lt;&gt;"",Expenses[[#This Row],[Monthly Amount]]/Income,"")</f>
        <v/>
      </c>
    </row>
    <row r="405" ht="24" customHeight="1">
      <c r="B405" s="31" t="n"/>
      <c r="C405" s="31" t="n"/>
      <c r="D405" s="32" t="n"/>
      <c r="E405" s="31" t="n"/>
      <c r="F40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05" s="32" t="n"/>
      <c r="H405" s="33">
        <f>IF(Expenses[[#This Row],[Monthly Amount]]&lt;&gt;"",Expenses[[#This Row],[Monthly Amount]]/Income,"")</f>
        <v/>
      </c>
    </row>
    <row r="406" ht="24" customHeight="1">
      <c r="B406" s="31" t="n"/>
      <c r="C406" s="31" t="n"/>
      <c r="D406" s="32" t="n"/>
      <c r="E406" s="31" t="n"/>
      <c r="F40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06" s="32" t="n"/>
      <c r="H406" s="33">
        <f>IF(Expenses[[#This Row],[Monthly Amount]]&lt;&gt;"",Expenses[[#This Row],[Monthly Amount]]/Income,"")</f>
        <v/>
      </c>
    </row>
    <row r="407" ht="24" customHeight="1">
      <c r="B407" s="31" t="n"/>
      <c r="C407" s="31" t="n"/>
      <c r="D407" s="32" t="n"/>
      <c r="E407" s="31" t="n"/>
      <c r="F40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07" s="32" t="n"/>
      <c r="H407" s="33">
        <f>IF(Expenses[[#This Row],[Monthly Amount]]&lt;&gt;"",Expenses[[#This Row],[Monthly Amount]]/Income,"")</f>
        <v/>
      </c>
    </row>
    <row r="408" ht="24" customHeight="1">
      <c r="B408" s="31" t="n"/>
      <c r="C408" s="31" t="n"/>
      <c r="D408" s="32" t="n"/>
      <c r="E408" s="31" t="n"/>
      <c r="F40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08" s="32" t="n"/>
      <c r="H408" s="33">
        <f>IF(Expenses[[#This Row],[Monthly Amount]]&lt;&gt;"",Expenses[[#This Row],[Monthly Amount]]/Income,"")</f>
        <v/>
      </c>
    </row>
    <row r="409" ht="24" customHeight="1">
      <c r="B409" s="31" t="n"/>
      <c r="C409" s="31" t="n"/>
      <c r="D409" s="32" t="n"/>
      <c r="E409" s="31" t="n"/>
      <c r="F40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09" s="32" t="n"/>
      <c r="H409" s="33">
        <f>IF(Expenses[[#This Row],[Monthly Amount]]&lt;&gt;"",Expenses[[#This Row],[Monthly Amount]]/Income,"")</f>
        <v/>
      </c>
    </row>
    <row r="410" ht="24" customHeight="1">
      <c r="B410" s="31" t="n"/>
      <c r="C410" s="31" t="n"/>
      <c r="D410" s="32" t="n"/>
      <c r="E410" s="31" t="n"/>
      <c r="F41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10" s="32" t="n"/>
      <c r="H410" s="33">
        <f>IF(Expenses[[#This Row],[Monthly Amount]]&lt;&gt;"",Expenses[[#This Row],[Monthly Amount]]/Income,"")</f>
        <v/>
      </c>
    </row>
    <row r="411" ht="24" customHeight="1">
      <c r="B411" s="31" t="n"/>
      <c r="C411" s="31" t="n"/>
      <c r="D411" s="32" t="n"/>
      <c r="E411" s="31" t="n"/>
      <c r="F41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11" s="32" t="n"/>
      <c r="H411" s="33">
        <f>IF(Expenses[[#This Row],[Monthly Amount]]&lt;&gt;"",Expenses[[#This Row],[Monthly Amount]]/Income,"")</f>
        <v/>
      </c>
    </row>
    <row r="412" ht="24" customHeight="1">
      <c r="B412" s="31" t="n"/>
      <c r="C412" s="31" t="n"/>
      <c r="D412" s="32" t="n"/>
      <c r="E412" s="31" t="n"/>
      <c r="F41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12" s="32" t="n"/>
      <c r="H412" s="33">
        <f>IF(Expenses[[#This Row],[Monthly Amount]]&lt;&gt;"",Expenses[[#This Row],[Monthly Amount]]/Income,"")</f>
        <v/>
      </c>
    </row>
    <row r="413" ht="24" customHeight="1">
      <c r="B413" s="31" t="n"/>
      <c r="C413" s="31" t="n"/>
      <c r="D413" s="32" t="n"/>
      <c r="E413" s="31" t="n"/>
      <c r="F41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13" s="32" t="n"/>
      <c r="H413" s="33">
        <f>IF(Expenses[[#This Row],[Monthly Amount]]&lt;&gt;"",Expenses[[#This Row],[Monthly Amount]]/Income,"")</f>
        <v/>
      </c>
    </row>
    <row r="414" ht="24" customHeight="1">
      <c r="B414" s="31" t="n"/>
      <c r="C414" s="31" t="n"/>
      <c r="D414" s="32" t="n"/>
      <c r="E414" s="31" t="n"/>
      <c r="F41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14" s="32" t="n"/>
      <c r="H414" s="33">
        <f>IF(Expenses[[#This Row],[Monthly Amount]]&lt;&gt;"",Expenses[[#This Row],[Monthly Amount]]/Income,"")</f>
        <v/>
      </c>
    </row>
    <row r="415" ht="24" customHeight="1">
      <c r="B415" s="31" t="n"/>
      <c r="C415" s="31" t="n"/>
      <c r="D415" s="32" t="n"/>
      <c r="E415" s="31" t="n"/>
      <c r="F41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15" s="32" t="n"/>
      <c r="H415" s="33">
        <f>IF(Expenses[[#This Row],[Monthly Amount]]&lt;&gt;"",Expenses[[#This Row],[Monthly Amount]]/Income,"")</f>
        <v/>
      </c>
    </row>
    <row r="416" ht="24" customHeight="1">
      <c r="B416" s="31" t="n"/>
      <c r="C416" s="31" t="n"/>
      <c r="D416" s="32" t="n"/>
      <c r="E416" s="31" t="n"/>
      <c r="F41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16" s="32" t="n"/>
      <c r="H416" s="33">
        <f>IF(Expenses[[#This Row],[Monthly Amount]]&lt;&gt;"",Expenses[[#This Row],[Monthly Amount]]/Income,"")</f>
        <v/>
      </c>
    </row>
    <row r="417" ht="24" customHeight="1">
      <c r="B417" s="31" t="n"/>
      <c r="C417" s="31" t="n"/>
      <c r="D417" s="32" t="n"/>
      <c r="E417" s="31" t="n"/>
      <c r="F41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17" s="32" t="n"/>
      <c r="H417" s="33">
        <f>IF(Expenses[[#This Row],[Monthly Amount]]&lt;&gt;"",Expenses[[#This Row],[Monthly Amount]]/Income,"")</f>
        <v/>
      </c>
    </row>
    <row r="418" ht="24" customHeight="1">
      <c r="B418" s="31" t="n"/>
      <c r="C418" s="31" t="n"/>
      <c r="D418" s="32" t="n"/>
      <c r="E418" s="31" t="n"/>
      <c r="F41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18" s="32" t="n"/>
      <c r="H418" s="33">
        <f>IF(Expenses[[#This Row],[Monthly Amount]]&lt;&gt;"",Expenses[[#This Row],[Monthly Amount]]/Income,"")</f>
        <v/>
      </c>
    </row>
    <row r="419" ht="24" customHeight="1">
      <c r="B419" s="31" t="n"/>
      <c r="C419" s="31" t="n"/>
      <c r="D419" s="32" t="n"/>
      <c r="E419" s="31" t="n"/>
      <c r="F41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19" s="32" t="n"/>
      <c r="H419" s="33">
        <f>IF(Expenses[[#This Row],[Monthly Amount]]&lt;&gt;"",Expenses[[#This Row],[Monthly Amount]]/Income,"")</f>
        <v/>
      </c>
    </row>
    <row r="420" ht="24" customHeight="1">
      <c r="B420" s="31" t="n"/>
      <c r="C420" s="31" t="n"/>
      <c r="D420" s="32" t="n"/>
      <c r="E420" s="31" t="n"/>
      <c r="F42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20" s="32" t="n"/>
      <c r="H420" s="33">
        <f>IF(Expenses[[#This Row],[Monthly Amount]]&lt;&gt;"",Expenses[[#This Row],[Monthly Amount]]/Income,"")</f>
        <v/>
      </c>
    </row>
    <row r="421" ht="24" customHeight="1">
      <c r="B421" s="31" t="n"/>
      <c r="C421" s="31" t="n"/>
      <c r="D421" s="32" t="n"/>
      <c r="E421" s="31" t="n"/>
      <c r="F42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21" s="32" t="n"/>
      <c r="H421" s="33">
        <f>IF(Expenses[[#This Row],[Monthly Amount]]&lt;&gt;"",Expenses[[#This Row],[Monthly Amount]]/Income,"")</f>
        <v/>
      </c>
    </row>
    <row r="422" ht="24" customHeight="1">
      <c r="B422" s="31" t="n"/>
      <c r="C422" s="31" t="n"/>
      <c r="D422" s="32" t="n"/>
      <c r="E422" s="31" t="n"/>
      <c r="F42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22" s="32" t="n"/>
      <c r="H422" s="33">
        <f>IF(Expenses[[#This Row],[Monthly Amount]]&lt;&gt;"",Expenses[[#This Row],[Monthly Amount]]/Income,"")</f>
        <v/>
      </c>
    </row>
    <row r="423" ht="24" customHeight="1">
      <c r="B423" s="31" t="n"/>
      <c r="C423" s="31" t="n"/>
      <c r="D423" s="32" t="n"/>
      <c r="E423" s="31" t="n"/>
      <c r="F42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23" s="32" t="n"/>
      <c r="H423" s="33">
        <f>IF(Expenses[[#This Row],[Monthly Amount]]&lt;&gt;"",Expenses[[#This Row],[Monthly Amount]]/Income,"")</f>
        <v/>
      </c>
    </row>
    <row r="424" ht="24" customHeight="1">
      <c r="B424" s="31" t="n"/>
      <c r="C424" s="31" t="n"/>
      <c r="D424" s="32" t="n"/>
      <c r="E424" s="31" t="n"/>
      <c r="F42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24" s="32" t="n"/>
      <c r="H424" s="33">
        <f>IF(Expenses[[#This Row],[Monthly Amount]]&lt;&gt;"",Expenses[[#This Row],[Monthly Amount]]/Income,"")</f>
        <v/>
      </c>
    </row>
    <row r="425" ht="24" customHeight="1">
      <c r="B425" s="31" t="n"/>
      <c r="C425" s="31" t="n"/>
      <c r="D425" s="32" t="n"/>
      <c r="E425" s="31" t="n"/>
      <c r="F42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25" s="32" t="n"/>
      <c r="H425" s="33">
        <f>IF(Expenses[[#This Row],[Monthly Amount]]&lt;&gt;"",Expenses[[#This Row],[Monthly Amount]]/Income,"")</f>
        <v/>
      </c>
    </row>
    <row r="426" ht="24" customHeight="1">
      <c r="B426" s="31" t="n"/>
      <c r="C426" s="31" t="n"/>
      <c r="D426" s="32" t="n"/>
      <c r="E426" s="31" t="n"/>
      <c r="F42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26" s="32" t="n"/>
      <c r="H426" s="33">
        <f>IF(Expenses[[#This Row],[Monthly Amount]]&lt;&gt;"",Expenses[[#This Row],[Monthly Amount]]/Income,"")</f>
        <v/>
      </c>
    </row>
    <row r="427" ht="24" customHeight="1">
      <c r="B427" s="31" t="n"/>
      <c r="C427" s="31" t="n"/>
      <c r="D427" s="32" t="n"/>
      <c r="E427" s="31" t="n"/>
      <c r="F42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27" s="32" t="n"/>
      <c r="H427" s="33">
        <f>IF(Expenses[[#This Row],[Monthly Amount]]&lt;&gt;"",Expenses[[#This Row],[Monthly Amount]]/Income,"")</f>
        <v/>
      </c>
    </row>
    <row r="428" ht="24" customHeight="1">
      <c r="B428" s="31" t="n"/>
      <c r="C428" s="31" t="n"/>
      <c r="D428" s="32" t="n"/>
      <c r="E428" s="31" t="n"/>
      <c r="F42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28" s="32" t="n"/>
      <c r="H428" s="33">
        <f>IF(Expenses[[#This Row],[Monthly Amount]]&lt;&gt;"",Expenses[[#This Row],[Monthly Amount]]/Income,"")</f>
        <v/>
      </c>
    </row>
    <row r="429" ht="24" customHeight="1">
      <c r="B429" s="31" t="n"/>
      <c r="C429" s="31" t="n"/>
      <c r="D429" s="32" t="n"/>
      <c r="E429" s="31" t="n"/>
      <c r="F42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29" s="32" t="n"/>
      <c r="H429" s="33">
        <f>IF(Expenses[[#This Row],[Monthly Amount]]&lt;&gt;"",Expenses[[#This Row],[Monthly Amount]]/Income,"")</f>
        <v/>
      </c>
    </row>
    <row r="430" ht="24" customHeight="1">
      <c r="B430" s="31" t="n"/>
      <c r="C430" s="31" t="n"/>
      <c r="D430" s="32" t="n"/>
      <c r="E430" s="31" t="n"/>
      <c r="F43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30" s="32" t="n"/>
      <c r="H430" s="33">
        <f>IF(Expenses[[#This Row],[Monthly Amount]]&lt;&gt;"",Expenses[[#This Row],[Monthly Amount]]/Income,"")</f>
        <v/>
      </c>
    </row>
    <row r="431" ht="24" customHeight="1">
      <c r="B431" s="31" t="n"/>
      <c r="C431" s="31" t="n"/>
      <c r="D431" s="32" t="n"/>
      <c r="E431" s="31" t="n"/>
      <c r="F43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31" s="32" t="n"/>
      <c r="H431" s="33">
        <f>IF(Expenses[[#This Row],[Monthly Amount]]&lt;&gt;"",Expenses[[#This Row],[Monthly Amount]]/Income,"")</f>
        <v/>
      </c>
    </row>
    <row r="432" ht="24" customHeight="1">
      <c r="B432" s="31" t="n"/>
      <c r="C432" s="31" t="n"/>
      <c r="D432" s="32" t="n"/>
      <c r="E432" s="31" t="n"/>
      <c r="F43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32" s="32" t="n"/>
      <c r="H432" s="33">
        <f>IF(Expenses[[#This Row],[Monthly Amount]]&lt;&gt;"",Expenses[[#This Row],[Monthly Amount]]/Income,"")</f>
        <v/>
      </c>
    </row>
    <row r="433" ht="24" customHeight="1">
      <c r="B433" s="31" t="n"/>
      <c r="C433" s="31" t="n"/>
      <c r="D433" s="32" t="n"/>
      <c r="E433" s="31" t="n"/>
      <c r="F43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33" s="32" t="n"/>
      <c r="H433" s="33">
        <f>IF(Expenses[[#This Row],[Monthly Amount]]&lt;&gt;"",Expenses[[#This Row],[Monthly Amount]]/Income,"")</f>
        <v/>
      </c>
    </row>
    <row r="434" ht="24" customHeight="1">
      <c r="B434" s="31" t="n"/>
      <c r="C434" s="31" t="n"/>
      <c r="D434" s="32" t="n"/>
      <c r="E434" s="31" t="n"/>
      <c r="F43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34" s="32" t="n"/>
      <c r="H434" s="33">
        <f>IF(Expenses[[#This Row],[Monthly Amount]]&lt;&gt;"",Expenses[[#This Row],[Monthly Amount]]/Income,"")</f>
        <v/>
      </c>
    </row>
    <row r="435" ht="24" customHeight="1">
      <c r="B435" s="31" t="n"/>
      <c r="C435" s="31" t="n"/>
      <c r="D435" s="32" t="n"/>
      <c r="E435" s="31" t="n"/>
      <c r="F43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35" s="32" t="n"/>
      <c r="H435" s="33">
        <f>IF(Expenses[[#This Row],[Monthly Amount]]&lt;&gt;"",Expenses[[#This Row],[Monthly Amount]]/Income,"")</f>
        <v/>
      </c>
    </row>
    <row r="436" ht="24" customHeight="1">
      <c r="B436" s="31" t="n"/>
      <c r="C436" s="31" t="n"/>
      <c r="D436" s="32" t="n"/>
      <c r="E436" s="31" t="n"/>
      <c r="F43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36" s="32" t="n"/>
      <c r="H436" s="33">
        <f>IF(Expenses[[#This Row],[Monthly Amount]]&lt;&gt;"",Expenses[[#This Row],[Monthly Amount]]/Income,"")</f>
        <v/>
      </c>
    </row>
    <row r="437" ht="24" customHeight="1">
      <c r="B437" s="31" t="n"/>
      <c r="C437" s="31" t="n"/>
      <c r="D437" s="32" t="n"/>
      <c r="E437" s="31" t="n"/>
      <c r="F43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37" s="32" t="n"/>
      <c r="H437" s="33">
        <f>IF(Expenses[[#This Row],[Monthly Amount]]&lt;&gt;"",Expenses[[#This Row],[Monthly Amount]]/Income,"")</f>
        <v/>
      </c>
    </row>
    <row r="438" ht="24" customHeight="1">
      <c r="B438" s="31" t="n"/>
      <c r="C438" s="31" t="n"/>
      <c r="D438" s="32" t="n"/>
      <c r="E438" s="31" t="n"/>
      <c r="F43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38" s="32" t="n"/>
      <c r="H438" s="33">
        <f>IF(Expenses[[#This Row],[Monthly Amount]]&lt;&gt;"",Expenses[[#This Row],[Monthly Amount]]/Income,"")</f>
        <v/>
      </c>
    </row>
    <row r="439" ht="24" customHeight="1">
      <c r="B439" s="31" t="n"/>
      <c r="C439" s="31" t="n"/>
      <c r="D439" s="32" t="n"/>
      <c r="E439" s="31" t="n"/>
      <c r="F43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39" s="32" t="n"/>
      <c r="H439" s="33">
        <f>IF(Expenses[[#This Row],[Monthly Amount]]&lt;&gt;"",Expenses[[#This Row],[Monthly Amount]]/Income,"")</f>
        <v/>
      </c>
    </row>
    <row r="440" ht="24" customHeight="1">
      <c r="B440" s="31" t="n"/>
      <c r="C440" s="31" t="n"/>
      <c r="D440" s="32" t="n"/>
      <c r="E440" s="31" t="n"/>
      <c r="F44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40" s="32" t="n"/>
      <c r="H440" s="33">
        <f>IF(Expenses[[#This Row],[Monthly Amount]]&lt;&gt;"",Expenses[[#This Row],[Monthly Amount]]/Income,"")</f>
        <v/>
      </c>
    </row>
    <row r="441" ht="24" customHeight="1">
      <c r="B441" s="31" t="n"/>
      <c r="C441" s="31" t="n"/>
      <c r="D441" s="32" t="n"/>
      <c r="E441" s="31" t="n"/>
      <c r="F44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41" s="32" t="n"/>
      <c r="H441" s="33">
        <f>IF(Expenses[[#This Row],[Monthly Amount]]&lt;&gt;"",Expenses[[#This Row],[Monthly Amount]]/Income,"")</f>
        <v/>
      </c>
    </row>
    <row r="442" ht="24" customHeight="1">
      <c r="B442" s="31" t="n"/>
      <c r="C442" s="31" t="n"/>
      <c r="D442" s="32" t="n"/>
      <c r="E442" s="31" t="n"/>
      <c r="F44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42" s="32" t="n"/>
      <c r="H442" s="33">
        <f>IF(Expenses[[#This Row],[Monthly Amount]]&lt;&gt;"",Expenses[[#This Row],[Monthly Amount]]/Income,"")</f>
        <v/>
      </c>
    </row>
    <row r="443" ht="24" customHeight="1">
      <c r="B443" s="31" t="n"/>
      <c r="C443" s="31" t="n"/>
      <c r="D443" s="32" t="n"/>
      <c r="E443" s="31" t="n"/>
      <c r="F44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43" s="32" t="n"/>
      <c r="H443" s="33">
        <f>IF(Expenses[[#This Row],[Monthly Amount]]&lt;&gt;"",Expenses[[#This Row],[Monthly Amount]]/Income,"")</f>
        <v/>
      </c>
    </row>
    <row r="444" ht="24" customHeight="1">
      <c r="B444" s="31" t="n"/>
      <c r="C444" s="31" t="n"/>
      <c r="D444" s="32" t="n"/>
      <c r="E444" s="31" t="n"/>
      <c r="F44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44" s="32" t="n"/>
      <c r="H444" s="33">
        <f>IF(Expenses[[#This Row],[Monthly Amount]]&lt;&gt;"",Expenses[[#This Row],[Monthly Amount]]/Income,"")</f>
        <v/>
      </c>
    </row>
    <row r="445" ht="24" customHeight="1">
      <c r="B445" s="31" t="n"/>
      <c r="C445" s="31" t="n"/>
      <c r="D445" s="32" t="n"/>
      <c r="E445" s="31" t="n"/>
      <c r="F44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45" s="32" t="n"/>
      <c r="H445" s="33">
        <f>IF(Expenses[[#This Row],[Monthly Amount]]&lt;&gt;"",Expenses[[#This Row],[Monthly Amount]]/Income,"")</f>
        <v/>
      </c>
    </row>
    <row r="446" ht="24" customHeight="1">
      <c r="B446" s="31" t="n"/>
      <c r="C446" s="31" t="n"/>
      <c r="D446" s="32" t="n"/>
      <c r="E446" s="31" t="n"/>
      <c r="F44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46" s="32" t="n"/>
      <c r="H446" s="33">
        <f>IF(Expenses[[#This Row],[Monthly Amount]]&lt;&gt;"",Expenses[[#This Row],[Monthly Amount]]/Income,"")</f>
        <v/>
      </c>
    </row>
    <row r="447" ht="24" customHeight="1">
      <c r="B447" s="31" t="n"/>
      <c r="C447" s="31" t="n"/>
      <c r="D447" s="32" t="n"/>
      <c r="E447" s="31" t="n"/>
      <c r="F44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47" s="32" t="n"/>
      <c r="H447" s="33">
        <f>IF(Expenses[[#This Row],[Monthly Amount]]&lt;&gt;"",Expenses[[#This Row],[Monthly Amount]]/Income,"")</f>
        <v/>
      </c>
    </row>
    <row r="448" ht="24" customHeight="1">
      <c r="B448" s="31" t="n"/>
      <c r="C448" s="31" t="n"/>
      <c r="D448" s="32" t="n"/>
      <c r="E448" s="31" t="n"/>
      <c r="F44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48" s="32" t="n"/>
      <c r="H448" s="33">
        <f>IF(Expenses[[#This Row],[Monthly Amount]]&lt;&gt;"",Expenses[[#This Row],[Monthly Amount]]/Income,"")</f>
        <v/>
      </c>
    </row>
    <row r="449" ht="24" customHeight="1">
      <c r="B449" s="31" t="n"/>
      <c r="C449" s="31" t="n"/>
      <c r="D449" s="32" t="n"/>
      <c r="E449" s="31" t="n"/>
      <c r="F44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49" s="32" t="n"/>
      <c r="H449" s="33">
        <f>IF(Expenses[[#This Row],[Monthly Amount]]&lt;&gt;"",Expenses[[#This Row],[Monthly Amount]]/Income,"")</f>
        <v/>
      </c>
    </row>
    <row r="450" ht="24" customHeight="1">
      <c r="B450" s="31" t="n"/>
      <c r="C450" s="31" t="n"/>
      <c r="D450" s="32" t="n"/>
      <c r="E450" s="31" t="n"/>
      <c r="F45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50" s="32" t="n"/>
      <c r="H450" s="33">
        <f>IF(Expenses[[#This Row],[Monthly Amount]]&lt;&gt;"",Expenses[[#This Row],[Monthly Amount]]/Income,"")</f>
        <v/>
      </c>
    </row>
    <row r="451" ht="24" customHeight="1">
      <c r="B451" s="31" t="n"/>
      <c r="C451" s="31" t="n"/>
      <c r="D451" s="32" t="n"/>
      <c r="E451" s="31" t="n"/>
      <c r="F45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51" s="32" t="n"/>
      <c r="H451" s="33">
        <f>IF(Expenses[[#This Row],[Monthly Amount]]&lt;&gt;"",Expenses[[#This Row],[Monthly Amount]]/Income,"")</f>
        <v/>
      </c>
    </row>
    <row r="452" ht="24" customHeight="1">
      <c r="B452" s="31" t="n"/>
      <c r="C452" s="31" t="n"/>
      <c r="D452" s="32" t="n"/>
      <c r="E452" s="31" t="n"/>
      <c r="F45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52" s="32" t="n"/>
      <c r="H452" s="33">
        <f>IF(Expenses[[#This Row],[Monthly Amount]]&lt;&gt;"",Expenses[[#This Row],[Monthly Amount]]/Income,"")</f>
        <v/>
      </c>
    </row>
    <row r="453" ht="24" customHeight="1">
      <c r="B453" s="31" t="n"/>
      <c r="C453" s="31" t="n"/>
      <c r="D453" s="32" t="n"/>
      <c r="E453" s="31" t="n"/>
      <c r="F45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53" s="32" t="n"/>
      <c r="H453" s="33">
        <f>IF(Expenses[[#This Row],[Monthly Amount]]&lt;&gt;"",Expenses[[#This Row],[Monthly Amount]]/Income,"")</f>
        <v/>
      </c>
    </row>
    <row r="454" ht="24" customHeight="1">
      <c r="B454" s="31" t="n"/>
      <c r="C454" s="31" t="n"/>
      <c r="D454" s="32" t="n"/>
      <c r="E454" s="31" t="n"/>
      <c r="F45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54" s="32" t="n"/>
      <c r="H454" s="33">
        <f>IF(Expenses[[#This Row],[Monthly Amount]]&lt;&gt;"",Expenses[[#This Row],[Monthly Amount]]/Income,"")</f>
        <v/>
      </c>
    </row>
    <row r="455" ht="24" customHeight="1">
      <c r="B455" s="31" t="n"/>
      <c r="C455" s="31" t="n"/>
      <c r="D455" s="32" t="n"/>
      <c r="E455" s="31" t="n"/>
      <c r="F45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55" s="32" t="n"/>
      <c r="H455" s="33">
        <f>IF(Expenses[[#This Row],[Monthly Amount]]&lt;&gt;"",Expenses[[#This Row],[Monthly Amount]]/Income,"")</f>
        <v/>
      </c>
    </row>
    <row r="456" ht="24" customHeight="1">
      <c r="B456" s="31" t="n"/>
      <c r="C456" s="31" t="n"/>
      <c r="D456" s="32" t="n"/>
      <c r="E456" s="31" t="n"/>
      <c r="F45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56" s="32" t="n"/>
      <c r="H456" s="33">
        <f>IF(Expenses[[#This Row],[Monthly Amount]]&lt;&gt;"",Expenses[[#This Row],[Monthly Amount]]/Income,"")</f>
        <v/>
      </c>
    </row>
    <row r="457" ht="24" customHeight="1">
      <c r="B457" s="31" t="n"/>
      <c r="C457" s="31" t="n"/>
      <c r="D457" s="32" t="n"/>
      <c r="E457" s="31" t="n"/>
      <c r="F45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57" s="32" t="n"/>
      <c r="H457" s="33">
        <f>IF(Expenses[[#This Row],[Monthly Amount]]&lt;&gt;"",Expenses[[#This Row],[Monthly Amount]]/Income,"")</f>
        <v/>
      </c>
    </row>
    <row r="458" ht="24" customHeight="1">
      <c r="B458" s="31" t="n"/>
      <c r="C458" s="31" t="n"/>
      <c r="D458" s="32" t="n"/>
      <c r="E458" s="31" t="n"/>
      <c r="F45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58" s="32" t="n"/>
      <c r="H458" s="33">
        <f>IF(Expenses[[#This Row],[Monthly Amount]]&lt;&gt;"",Expenses[[#This Row],[Monthly Amount]]/Income,"")</f>
        <v/>
      </c>
    </row>
    <row r="459" ht="24" customHeight="1">
      <c r="B459" s="31" t="n"/>
      <c r="C459" s="31" t="n"/>
      <c r="D459" s="32" t="n"/>
      <c r="E459" s="31" t="n"/>
      <c r="F45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59" s="32" t="n"/>
      <c r="H459" s="33">
        <f>IF(Expenses[[#This Row],[Monthly Amount]]&lt;&gt;"",Expenses[[#This Row],[Monthly Amount]]/Income,"")</f>
        <v/>
      </c>
    </row>
    <row r="460" ht="24" customHeight="1">
      <c r="B460" s="31" t="n"/>
      <c r="C460" s="31" t="n"/>
      <c r="D460" s="32" t="n"/>
      <c r="E460" s="31" t="n"/>
      <c r="F46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60" s="32" t="n"/>
      <c r="H460" s="33">
        <f>IF(Expenses[[#This Row],[Monthly Amount]]&lt;&gt;"",Expenses[[#This Row],[Monthly Amount]]/Income,"")</f>
        <v/>
      </c>
    </row>
    <row r="461" ht="24" customHeight="1">
      <c r="B461" s="31" t="n"/>
      <c r="C461" s="31" t="n"/>
      <c r="D461" s="32" t="n"/>
      <c r="E461" s="31" t="n"/>
      <c r="F46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61" s="32" t="n"/>
      <c r="H461" s="33">
        <f>IF(Expenses[[#This Row],[Monthly Amount]]&lt;&gt;"",Expenses[[#This Row],[Monthly Amount]]/Income,"")</f>
        <v/>
      </c>
    </row>
    <row r="462" ht="24" customHeight="1">
      <c r="B462" s="31" t="n"/>
      <c r="C462" s="31" t="n"/>
      <c r="D462" s="32" t="n"/>
      <c r="E462" s="31" t="n"/>
      <c r="F46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62" s="32" t="n"/>
      <c r="H462" s="33">
        <f>IF(Expenses[[#This Row],[Monthly Amount]]&lt;&gt;"",Expenses[[#This Row],[Monthly Amount]]/Income,"")</f>
        <v/>
      </c>
    </row>
    <row r="463" ht="24" customHeight="1">
      <c r="B463" s="31" t="n"/>
      <c r="C463" s="31" t="n"/>
      <c r="D463" s="32" t="n"/>
      <c r="E463" s="31" t="n"/>
      <c r="F46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63" s="32" t="n"/>
      <c r="H463" s="33">
        <f>IF(Expenses[[#This Row],[Monthly Amount]]&lt;&gt;"",Expenses[[#This Row],[Monthly Amount]]/Income,"")</f>
        <v/>
      </c>
    </row>
    <row r="464" ht="24" customHeight="1">
      <c r="B464" s="31" t="n"/>
      <c r="C464" s="31" t="n"/>
      <c r="D464" s="32" t="n"/>
      <c r="E464" s="31" t="n"/>
      <c r="F46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64" s="32" t="n"/>
      <c r="H464" s="33">
        <f>IF(Expenses[[#This Row],[Monthly Amount]]&lt;&gt;"",Expenses[[#This Row],[Monthly Amount]]/Income,"")</f>
        <v/>
      </c>
    </row>
    <row r="465" ht="24" customHeight="1">
      <c r="B465" s="31" t="n"/>
      <c r="C465" s="31" t="n"/>
      <c r="D465" s="32" t="n"/>
      <c r="E465" s="31" t="n"/>
      <c r="F46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65" s="32" t="n"/>
      <c r="H465" s="33">
        <f>IF(Expenses[[#This Row],[Monthly Amount]]&lt;&gt;"",Expenses[[#This Row],[Monthly Amount]]/Income,"")</f>
        <v/>
      </c>
    </row>
    <row r="466" ht="24" customHeight="1">
      <c r="B466" s="31" t="n"/>
      <c r="C466" s="31" t="n"/>
      <c r="D466" s="32" t="n"/>
      <c r="E466" s="31" t="n"/>
      <c r="F46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66" s="32" t="n"/>
      <c r="H466" s="33">
        <f>IF(Expenses[[#This Row],[Monthly Amount]]&lt;&gt;"",Expenses[[#This Row],[Monthly Amount]]/Income,"")</f>
        <v/>
      </c>
    </row>
    <row r="467" ht="24" customHeight="1">
      <c r="B467" s="31" t="n"/>
      <c r="C467" s="31" t="n"/>
      <c r="D467" s="32" t="n"/>
      <c r="E467" s="31" t="n"/>
      <c r="F46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67" s="32" t="n"/>
      <c r="H467" s="33">
        <f>IF(Expenses[[#This Row],[Monthly Amount]]&lt;&gt;"",Expenses[[#This Row],[Monthly Amount]]/Income,"")</f>
        <v/>
      </c>
    </row>
    <row r="468" ht="24" customHeight="1">
      <c r="B468" s="31" t="n"/>
      <c r="C468" s="31" t="n"/>
      <c r="D468" s="32" t="n"/>
      <c r="E468" s="31" t="n"/>
      <c r="F46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68" s="32" t="n"/>
      <c r="H468" s="33">
        <f>IF(Expenses[[#This Row],[Monthly Amount]]&lt;&gt;"",Expenses[[#This Row],[Monthly Amount]]/Income,"")</f>
        <v/>
      </c>
    </row>
    <row r="469" ht="24" customHeight="1">
      <c r="B469" s="31" t="n"/>
      <c r="C469" s="31" t="n"/>
      <c r="D469" s="32" t="n"/>
      <c r="E469" s="31" t="n"/>
      <c r="F46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69" s="32" t="n"/>
      <c r="H469" s="33">
        <f>IF(Expenses[[#This Row],[Monthly Amount]]&lt;&gt;"",Expenses[[#This Row],[Monthly Amount]]/Income,"")</f>
        <v/>
      </c>
    </row>
    <row r="470" ht="24" customHeight="1">
      <c r="B470" s="31" t="n"/>
      <c r="C470" s="31" t="n"/>
      <c r="D470" s="32" t="n"/>
      <c r="E470" s="31" t="n"/>
      <c r="F47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70" s="32" t="n"/>
      <c r="H470" s="33">
        <f>IF(Expenses[[#This Row],[Monthly Amount]]&lt;&gt;"",Expenses[[#This Row],[Monthly Amount]]/Income,"")</f>
        <v/>
      </c>
    </row>
    <row r="471" ht="24" customHeight="1">
      <c r="B471" s="31" t="n"/>
      <c r="C471" s="31" t="n"/>
      <c r="D471" s="32" t="n"/>
      <c r="E471" s="31" t="n"/>
      <c r="F47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71" s="32" t="n"/>
      <c r="H471" s="33">
        <f>IF(Expenses[[#This Row],[Monthly Amount]]&lt;&gt;"",Expenses[[#This Row],[Monthly Amount]]/Income,"")</f>
        <v/>
      </c>
    </row>
    <row r="472" ht="24" customHeight="1">
      <c r="B472" s="31" t="n"/>
      <c r="C472" s="31" t="n"/>
      <c r="D472" s="32" t="n"/>
      <c r="E472" s="31" t="n"/>
      <c r="F47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72" s="32" t="n"/>
      <c r="H472" s="33">
        <f>IF(Expenses[[#This Row],[Monthly Amount]]&lt;&gt;"",Expenses[[#This Row],[Monthly Amount]]/Income,"")</f>
        <v/>
      </c>
    </row>
    <row r="473" ht="24" customHeight="1">
      <c r="B473" s="31" t="n"/>
      <c r="C473" s="31" t="n"/>
      <c r="D473" s="32" t="n"/>
      <c r="E473" s="31" t="n"/>
      <c r="F47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73" s="32" t="n"/>
      <c r="H473" s="33">
        <f>IF(Expenses[[#This Row],[Monthly Amount]]&lt;&gt;"",Expenses[[#This Row],[Monthly Amount]]/Income,"")</f>
        <v/>
      </c>
    </row>
    <row r="474" ht="24" customHeight="1">
      <c r="B474" s="31" t="n"/>
      <c r="C474" s="31" t="n"/>
      <c r="D474" s="32" t="n"/>
      <c r="E474" s="31" t="n"/>
      <c r="F47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74" s="32" t="n"/>
      <c r="H474" s="33">
        <f>IF(Expenses[[#This Row],[Monthly Amount]]&lt;&gt;"",Expenses[[#This Row],[Monthly Amount]]/Income,"")</f>
        <v/>
      </c>
    </row>
    <row r="475" ht="24" customHeight="1">
      <c r="B475" s="31" t="n"/>
      <c r="C475" s="31" t="n"/>
      <c r="D475" s="32" t="n"/>
      <c r="E475" s="31" t="n"/>
      <c r="F47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75" s="32" t="n"/>
      <c r="H475" s="33">
        <f>IF(Expenses[[#This Row],[Monthly Amount]]&lt;&gt;"",Expenses[[#This Row],[Monthly Amount]]/Income,"")</f>
        <v/>
      </c>
    </row>
    <row r="476" ht="24" customHeight="1">
      <c r="B476" s="31" t="n"/>
      <c r="C476" s="31" t="n"/>
      <c r="D476" s="32" t="n"/>
      <c r="E476" s="31" t="n"/>
      <c r="F47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76" s="32" t="n"/>
      <c r="H476" s="33">
        <f>IF(Expenses[[#This Row],[Monthly Amount]]&lt;&gt;"",Expenses[[#This Row],[Monthly Amount]]/Income,"")</f>
        <v/>
      </c>
    </row>
    <row r="477" ht="24" customHeight="1">
      <c r="B477" s="31" t="n"/>
      <c r="C477" s="31" t="n"/>
      <c r="D477" s="32" t="n"/>
      <c r="E477" s="31" t="n"/>
      <c r="F47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77" s="32" t="n"/>
      <c r="H477" s="33">
        <f>IF(Expenses[[#This Row],[Monthly Amount]]&lt;&gt;"",Expenses[[#This Row],[Monthly Amount]]/Income,"")</f>
        <v/>
      </c>
    </row>
    <row r="478" ht="24" customHeight="1">
      <c r="B478" s="31" t="n"/>
      <c r="C478" s="31" t="n"/>
      <c r="D478" s="32" t="n"/>
      <c r="E478" s="31" t="n"/>
      <c r="F47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78" s="32" t="n"/>
      <c r="H478" s="33">
        <f>IF(Expenses[[#This Row],[Monthly Amount]]&lt;&gt;"",Expenses[[#This Row],[Monthly Amount]]/Income,"")</f>
        <v/>
      </c>
    </row>
    <row r="479" ht="24" customHeight="1">
      <c r="B479" s="31" t="n"/>
      <c r="C479" s="31" t="n"/>
      <c r="D479" s="32" t="n"/>
      <c r="E479" s="31" t="n"/>
      <c r="F47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79" s="32" t="n"/>
      <c r="H479" s="33">
        <f>IF(Expenses[[#This Row],[Monthly Amount]]&lt;&gt;"",Expenses[[#This Row],[Monthly Amount]]/Income,"")</f>
        <v/>
      </c>
    </row>
    <row r="480" ht="24" customHeight="1">
      <c r="B480" s="31" t="n"/>
      <c r="C480" s="31" t="n"/>
      <c r="D480" s="32" t="n"/>
      <c r="E480" s="31" t="n"/>
      <c r="F48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80" s="32" t="n"/>
      <c r="H480" s="33">
        <f>IF(Expenses[[#This Row],[Monthly Amount]]&lt;&gt;"",Expenses[[#This Row],[Monthly Amount]]/Income,"")</f>
        <v/>
      </c>
    </row>
    <row r="481" ht="24" customHeight="1">
      <c r="B481" s="31" t="n"/>
      <c r="C481" s="31" t="n"/>
      <c r="D481" s="32" t="n"/>
      <c r="E481" s="31" t="n"/>
      <c r="F48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81" s="32" t="n"/>
      <c r="H481" s="33">
        <f>IF(Expenses[[#This Row],[Monthly Amount]]&lt;&gt;"",Expenses[[#This Row],[Monthly Amount]]/Income,"")</f>
        <v/>
      </c>
    </row>
    <row r="482" ht="24" customHeight="1">
      <c r="B482" s="31" t="n"/>
      <c r="C482" s="31" t="n"/>
      <c r="D482" s="32" t="n"/>
      <c r="E482" s="31" t="n"/>
      <c r="F48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82" s="32" t="n"/>
      <c r="H482" s="33">
        <f>IF(Expenses[[#This Row],[Monthly Amount]]&lt;&gt;"",Expenses[[#This Row],[Monthly Amount]]/Income,"")</f>
        <v/>
      </c>
    </row>
    <row r="483" ht="24" customHeight="1">
      <c r="B483" s="31" t="n"/>
      <c r="C483" s="31" t="n"/>
      <c r="D483" s="32" t="n"/>
      <c r="E483" s="31" t="n"/>
      <c r="F48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83" s="32" t="n"/>
      <c r="H483" s="33">
        <f>IF(Expenses[[#This Row],[Monthly Amount]]&lt;&gt;"",Expenses[[#This Row],[Monthly Amount]]/Income,"")</f>
        <v/>
      </c>
    </row>
    <row r="484" ht="24" customHeight="1">
      <c r="B484" s="31" t="n"/>
      <c r="C484" s="31" t="n"/>
      <c r="D484" s="32" t="n"/>
      <c r="E484" s="31" t="n"/>
      <c r="F48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84" s="32" t="n"/>
      <c r="H484" s="33">
        <f>IF(Expenses[[#This Row],[Monthly Amount]]&lt;&gt;"",Expenses[[#This Row],[Monthly Amount]]/Income,"")</f>
        <v/>
      </c>
    </row>
    <row r="485" ht="24" customHeight="1">
      <c r="B485" s="31" t="n"/>
      <c r="C485" s="31" t="n"/>
      <c r="D485" s="32" t="n"/>
      <c r="E485" s="31" t="n"/>
      <c r="F48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85" s="32" t="n"/>
      <c r="H485" s="33">
        <f>IF(Expenses[[#This Row],[Monthly Amount]]&lt;&gt;"",Expenses[[#This Row],[Monthly Amount]]/Income,"")</f>
        <v/>
      </c>
    </row>
    <row r="486" ht="24" customHeight="1">
      <c r="B486" s="31" t="n"/>
      <c r="C486" s="31" t="n"/>
      <c r="D486" s="32" t="n"/>
      <c r="E486" s="31" t="n"/>
      <c r="F48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86" s="32" t="n"/>
      <c r="H486" s="33">
        <f>IF(Expenses[[#This Row],[Monthly Amount]]&lt;&gt;"",Expenses[[#This Row],[Monthly Amount]]/Income,"")</f>
        <v/>
      </c>
    </row>
    <row r="487" ht="24" customHeight="1">
      <c r="B487" s="31" t="n"/>
      <c r="C487" s="31" t="n"/>
      <c r="D487" s="32" t="n"/>
      <c r="E487" s="31" t="n"/>
      <c r="F48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87" s="32" t="n"/>
      <c r="H487" s="33">
        <f>IF(Expenses[[#This Row],[Monthly Amount]]&lt;&gt;"",Expenses[[#This Row],[Monthly Amount]]/Income,"")</f>
        <v/>
      </c>
    </row>
    <row r="488" ht="24" customHeight="1">
      <c r="B488" s="31" t="n"/>
      <c r="C488" s="31" t="n"/>
      <c r="D488" s="32" t="n"/>
      <c r="E488" s="31" t="n"/>
      <c r="F48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88" s="32" t="n"/>
      <c r="H488" s="33">
        <f>IF(Expenses[[#This Row],[Monthly Amount]]&lt;&gt;"",Expenses[[#This Row],[Monthly Amount]]/Income,"")</f>
        <v/>
      </c>
    </row>
    <row r="489" ht="24" customHeight="1">
      <c r="B489" s="31" t="n"/>
      <c r="C489" s="31" t="n"/>
      <c r="D489" s="32" t="n"/>
      <c r="E489" s="31" t="n"/>
      <c r="F48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89" s="32" t="n"/>
      <c r="H489" s="33">
        <f>IF(Expenses[[#This Row],[Monthly Amount]]&lt;&gt;"",Expenses[[#This Row],[Monthly Amount]]/Income,"")</f>
        <v/>
      </c>
    </row>
    <row r="490" ht="24" customHeight="1">
      <c r="B490" s="31" t="n"/>
      <c r="C490" s="31" t="n"/>
      <c r="D490" s="32" t="n"/>
      <c r="E490" s="31" t="n"/>
      <c r="F49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90" s="32" t="n"/>
      <c r="H490" s="33">
        <f>IF(Expenses[[#This Row],[Monthly Amount]]&lt;&gt;"",Expenses[[#This Row],[Monthly Amount]]/Income,"")</f>
        <v/>
      </c>
    </row>
    <row r="491" ht="24" customHeight="1">
      <c r="B491" s="31" t="n"/>
      <c r="C491" s="31" t="n"/>
      <c r="D491" s="32" t="n"/>
      <c r="E491" s="31" t="n"/>
      <c r="F49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91" s="32" t="n"/>
      <c r="H491" s="33">
        <f>IF(Expenses[[#This Row],[Monthly Amount]]&lt;&gt;"",Expenses[[#This Row],[Monthly Amount]]/Income,"")</f>
        <v/>
      </c>
    </row>
    <row r="492" ht="24" customHeight="1">
      <c r="B492" s="31" t="n"/>
      <c r="C492" s="31" t="n"/>
      <c r="D492" s="32" t="n"/>
      <c r="E492" s="31" t="n"/>
      <c r="F49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92" s="32" t="n"/>
      <c r="H492" s="33">
        <f>IF(Expenses[[#This Row],[Monthly Amount]]&lt;&gt;"",Expenses[[#This Row],[Monthly Amount]]/Income,"")</f>
        <v/>
      </c>
    </row>
    <row r="493" ht="24" customHeight="1">
      <c r="B493" s="31" t="n"/>
      <c r="C493" s="31" t="n"/>
      <c r="D493" s="32" t="n"/>
      <c r="E493" s="31" t="n"/>
      <c r="F49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93" s="32" t="n"/>
      <c r="H493" s="33">
        <f>IF(Expenses[[#This Row],[Monthly Amount]]&lt;&gt;"",Expenses[[#This Row],[Monthly Amount]]/Income,"")</f>
        <v/>
      </c>
    </row>
    <row r="494" ht="24" customHeight="1">
      <c r="B494" s="31" t="n"/>
      <c r="C494" s="31" t="n"/>
      <c r="D494" s="32" t="n"/>
      <c r="E494" s="31" t="n"/>
      <c r="F49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94" s="32" t="n"/>
      <c r="H494" s="33">
        <f>IF(Expenses[[#This Row],[Monthly Amount]]&lt;&gt;"",Expenses[[#This Row],[Monthly Amount]]/Income,"")</f>
        <v/>
      </c>
    </row>
    <row r="495" ht="24" customHeight="1">
      <c r="B495" s="31" t="n"/>
      <c r="C495" s="31" t="n"/>
      <c r="D495" s="32" t="n"/>
      <c r="E495" s="31" t="n"/>
      <c r="F49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95" s="32" t="n"/>
      <c r="H495" s="33">
        <f>IF(Expenses[[#This Row],[Monthly Amount]]&lt;&gt;"",Expenses[[#This Row],[Monthly Amount]]/Income,"")</f>
        <v/>
      </c>
    </row>
    <row r="496" ht="24" customHeight="1">
      <c r="B496" s="31" t="n"/>
      <c r="C496" s="31" t="n"/>
      <c r="D496" s="32" t="n"/>
      <c r="E496" s="31" t="n"/>
      <c r="F49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96" s="32" t="n"/>
      <c r="H496" s="33">
        <f>IF(Expenses[[#This Row],[Monthly Amount]]&lt;&gt;"",Expenses[[#This Row],[Monthly Amount]]/Income,"")</f>
        <v/>
      </c>
    </row>
    <row r="497" ht="24" customHeight="1">
      <c r="B497" s="31" t="n"/>
      <c r="C497" s="31" t="n"/>
      <c r="D497" s="32" t="n"/>
      <c r="E497" s="31" t="n"/>
      <c r="F49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97" s="32" t="n"/>
      <c r="H497" s="33">
        <f>IF(Expenses[[#This Row],[Monthly Amount]]&lt;&gt;"",Expenses[[#This Row],[Monthly Amount]]/Income,"")</f>
        <v/>
      </c>
    </row>
    <row r="498" ht="24" customHeight="1">
      <c r="B498" s="31" t="n"/>
      <c r="C498" s="31" t="n"/>
      <c r="D498" s="32" t="n"/>
      <c r="E498" s="31" t="n"/>
      <c r="F49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98" s="32" t="n"/>
      <c r="H498" s="33">
        <f>IF(Expenses[[#This Row],[Monthly Amount]]&lt;&gt;"",Expenses[[#This Row],[Monthly Amount]]/Income,"")</f>
        <v/>
      </c>
    </row>
    <row r="499" ht="24" customHeight="1">
      <c r="B499" s="31" t="n"/>
      <c r="C499" s="31" t="n"/>
      <c r="D499" s="32" t="n"/>
      <c r="E499" s="31" t="n"/>
      <c r="F49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99" s="32" t="n"/>
      <c r="H499" s="33">
        <f>IF(Expenses[[#This Row],[Monthly Amount]]&lt;&gt;"",Expenses[[#This Row],[Monthly Amount]]/Income,"")</f>
        <v/>
      </c>
    </row>
    <row r="500" ht="24" customHeight="1">
      <c r="B500" s="31" t="n"/>
      <c r="C500" s="31" t="n"/>
      <c r="D500" s="32" t="n"/>
      <c r="E500" s="31" t="n"/>
      <c r="F50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00" s="32" t="n"/>
      <c r="H500" s="33">
        <f>IF(Expenses[[#This Row],[Monthly Amount]]&lt;&gt;"",Expenses[[#This Row],[Monthly Amount]]/Income,"")</f>
        <v/>
      </c>
    </row>
    <row r="501" ht="24" customHeight="1">
      <c r="B501" s="31" t="n"/>
      <c r="C501" s="31" t="n"/>
      <c r="D501" s="32" t="n"/>
      <c r="E501" s="31" t="n"/>
      <c r="F50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01" s="32" t="n"/>
      <c r="H501" s="33">
        <f>IF(Expenses[[#This Row],[Monthly Amount]]&lt;&gt;"",Expenses[[#This Row],[Monthly Amount]]/Income,"")</f>
        <v/>
      </c>
    </row>
    <row r="502" ht="24" customHeight="1">
      <c r="B502" s="31" t="n"/>
      <c r="C502" s="31" t="n"/>
      <c r="D502" s="32" t="n"/>
      <c r="E502" s="31" t="n"/>
      <c r="F50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02" s="32" t="n"/>
      <c r="H502" s="33">
        <f>IF(Expenses[[#This Row],[Monthly Amount]]&lt;&gt;"",Expenses[[#This Row],[Monthly Amount]]/Income,"")</f>
        <v/>
      </c>
    </row>
    <row r="503" ht="24" customHeight="1">
      <c r="B503" s="31" t="n"/>
      <c r="C503" s="31" t="n"/>
      <c r="D503" s="32" t="n"/>
      <c r="E503" s="31" t="n"/>
      <c r="F50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03" s="32" t="n"/>
      <c r="H503" s="33">
        <f>IF(Expenses[[#This Row],[Monthly Amount]]&lt;&gt;"",Expenses[[#This Row],[Monthly Amount]]/Income,"")</f>
        <v/>
      </c>
    </row>
    <row r="504" ht="24" customHeight="1">
      <c r="B504" s="31" t="n"/>
      <c r="C504" s="31" t="n"/>
      <c r="D504" s="32" t="n"/>
      <c r="E504" s="31" t="n"/>
      <c r="F50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04" s="32" t="n"/>
      <c r="H504" s="33">
        <f>IF(Expenses[[#This Row],[Monthly Amount]]&lt;&gt;"",Expenses[[#This Row],[Monthly Amount]]/Income,"")</f>
        <v/>
      </c>
    </row>
    <row r="505" ht="24" customHeight="1">
      <c r="B505" s="31" t="n"/>
      <c r="C505" s="31" t="n"/>
      <c r="D505" s="32" t="n"/>
      <c r="E505" s="31" t="n"/>
      <c r="F50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05" s="32" t="n"/>
      <c r="H505" s="33">
        <f>IF(Expenses[[#This Row],[Monthly Amount]]&lt;&gt;"",Expenses[[#This Row],[Monthly Amount]]/Income,"")</f>
        <v/>
      </c>
    </row>
    <row r="506" ht="24" customHeight="1">
      <c r="B506" s="31" t="n"/>
      <c r="C506" s="31" t="n"/>
      <c r="D506" s="32" t="n"/>
      <c r="E506" s="31" t="n"/>
      <c r="F50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06" s="32" t="n"/>
      <c r="H506" s="33">
        <f>IF(Expenses[[#This Row],[Monthly Amount]]&lt;&gt;"",Expenses[[#This Row],[Monthly Amount]]/Income,"")</f>
        <v/>
      </c>
    </row>
    <row r="507" ht="24" customHeight="1">
      <c r="B507" s="31" t="n"/>
      <c r="C507" s="31" t="n"/>
      <c r="D507" s="32" t="n"/>
      <c r="E507" s="31" t="n"/>
      <c r="F50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07" s="32" t="n"/>
      <c r="H507" s="33">
        <f>IF(Expenses[[#This Row],[Monthly Amount]]&lt;&gt;"",Expenses[[#This Row],[Monthly Amount]]/Income,"")</f>
        <v/>
      </c>
    </row>
    <row r="508" ht="24" customHeight="1">
      <c r="B508" s="31" t="n"/>
      <c r="C508" s="31" t="n"/>
      <c r="D508" s="32" t="n"/>
      <c r="E508" s="31" t="n"/>
      <c r="F50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08" s="32" t="n"/>
      <c r="H508" s="33">
        <f>IF(Expenses[[#This Row],[Monthly Amount]]&lt;&gt;"",Expenses[[#This Row],[Monthly Amount]]/Income,"")</f>
        <v/>
      </c>
    </row>
    <row r="509" ht="24" customHeight="1">
      <c r="B509" s="31" t="n"/>
      <c r="C509" s="31" t="n"/>
      <c r="D509" s="32" t="n"/>
      <c r="E509" s="31" t="n"/>
      <c r="F50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09" s="32" t="n"/>
      <c r="H509" s="33">
        <f>IF(Expenses[[#This Row],[Monthly Amount]]&lt;&gt;"",Expenses[[#This Row],[Monthly Amount]]/Income,"")</f>
        <v/>
      </c>
    </row>
    <row r="510" ht="24" customHeight="1">
      <c r="B510" s="31" t="n"/>
      <c r="C510" s="31" t="n"/>
      <c r="D510" s="32" t="n"/>
      <c r="E510" s="31" t="n"/>
      <c r="F51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10" s="32" t="n"/>
      <c r="H510" s="33">
        <f>IF(Expenses[[#This Row],[Monthly Amount]]&lt;&gt;"",Expenses[[#This Row],[Monthly Amount]]/Income,"")</f>
        <v/>
      </c>
    </row>
    <row r="511" ht="24" customHeight="1">
      <c r="B511" s="31" t="n"/>
      <c r="C511" s="31" t="n"/>
      <c r="D511" s="32" t="n"/>
      <c r="E511" s="31" t="n"/>
      <c r="F51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11" s="32" t="n"/>
      <c r="H511" s="33">
        <f>IF(Expenses[[#This Row],[Monthly Amount]]&lt;&gt;"",Expenses[[#This Row],[Monthly Amount]]/Income,"")</f>
        <v/>
      </c>
    </row>
    <row r="512" ht="24" customHeight="1">
      <c r="B512" s="31" t="n"/>
      <c r="C512" s="31" t="n"/>
      <c r="D512" s="32" t="n"/>
      <c r="E512" s="31" t="n"/>
      <c r="F51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12" s="32" t="n"/>
      <c r="H512" s="33">
        <f>IF(Expenses[[#This Row],[Monthly Amount]]&lt;&gt;"",Expenses[[#This Row],[Monthly Amount]]/Income,"")</f>
        <v/>
      </c>
    </row>
    <row r="513" ht="24" customHeight="1">
      <c r="B513" s="31" t="n"/>
      <c r="C513" s="31" t="n"/>
      <c r="D513" s="32" t="n"/>
      <c r="E513" s="31" t="n"/>
      <c r="F51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13" s="32" t="n"/>
      <c r="H513" s="33">
        <f>IF(Expenses[[#This Row],[Monthly Amount]]&lt;&gt;"",Expenses[[#This Row],[Monthly Amount]]/Income,"")</f>
        <v/>
      </c>
    </row>
    <row r="514" ht="24" customHeight="1">
      <c r="B514" s="31" t="n"/>
      <c r="C514" s="31" t="n"/>
      <c r="D514" s="32" t="n"/>
      <c r="E514" s="31" t="n"/>
      <c r="F51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14" s="32" t="n"/>
      <c r="H514" s="33">
        <f>IF(Expenses[[#This Row],[Monthly Amount]]&lt;&gt;"",Expenses[[#This Row],[Monthly Amount]]/Income,"")</f>
        <v/>
      </c>
    </row>
    <row r="515" ht="24" customHeight="1">
      <c r="B515" s="31" t="n"/>
      <c r="C515" s="31" t="n"/>
      <c r="D515" s="32" t="n"/>
      <c r="E515" s="31" t="n"/>
      <c r="F51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15" s="32" t="n"/>
      <c r="H515" s="33">
        <f>IF(Expenses[[#This Row],[Monthly Amount]]&lt;&gt;"",Expenses[[#This Row],[Monthly Amount]]/Income,"")</f>
        <v/>
      </c>
    </row>
    <row r="516" ht="24" customHeight="1">
      <c r="B516" s="31" t="n"/>
      <c r="C516" s="31" t="n"/>
      <c r="D516" s="32" t="n"/>
      <c r="E516" s="31" t="n"/>
      <c r="F51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16" s="32" t="n"/>
      <c r="H516" s="33">
        <f>IF(Expenses[[#This Row],[Monthly Amount]]&lt;&gt;"",Expenses[[#This Row],[Monthly Amount]]/Income,"")</f>
        <v/>
      </c>
    </row>
    <row r="517" ht="24" customHeight="1">
      <c r="B517" s="31" t="n"/>
      <c r="C517" s="31" t="n"/>
      <c r="D517" s="32" t="n"/>
      <c r="E517" s="31" t="n"/>
      <c r="F51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17" s="32" t="n"/>
      <c r="H517" s="33">
        <f>IF(Expenses[[#This Row],[Monthly Amount]]&lt;&gt;"",Expenses[[#This Row],[Monthly Amount]]/Income,"")</f>
        <v/>
      </c>
    </row>
    <row r="518" ht="24" customHeight="1">
      <c r="B518" s="31" t="n"/>
      <c r="C518" s="31" t="n"/>
      <c r="D518" s="32" t="n"/>
      <c r="E518" s="31" t="n"/>
      <c r="F51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18" s="32" t="n"/>
      <c r="H518" s="33">
        <f>IF(Expenses[[#This Row],[Monthly Amount]]&lt;&gt;"",Expenses[[#This Row],[Monthly Amount]]/Income,"")</f>
        <v/>
      </c>
    </row>
    <row r="519" ht="24" customHeight="1">
      <c r="B519" s="31" t="n"/>
      <c r="C519" s="31" t="n"/>
      <c r="D519" s="32" t="n"/>
      <c r="E519" s="31" t="n"/>
      <c r="F51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19" s="32" t="n"/>
      <c r="H519" s="33">
        <f>IF(Expenses[[#This Row],[Monthly Amount]]&lt;&gt;"",Expenses[[#This Row],[Monthly Amount]]/Income,"")</f>
        <v/>
      </c>
    </row>
    <row r="520" ht="24" customHeight="1">
      <c r="B520" s="31" t="n"/>
      <c r="C520" s="31" t="n"/>
      <c r="D520" s="32" t="n"/>
      <c r="E520" s="31" t="n"/>
      <c r="F52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20" s="32" t="n"/>
      <c r="H520" s="33">
        <f>IF(Expenses[[#This Row],[Monthly Amount]]&lt;&gt;"",Expenses[[#This Row],[Monthly Amount]]/Income,"")</f>
        <v/>
      </c>
    </row>
    <row r="521" ht="24" customHeight="1">
      <c r="B521" s="31" t="n"/>
      <c r="C521" s="31" t="n"/>
      <c r="D521" s="32" t="n"/>
      <c r="E521" s="31" t="n"/>
      <c r="F52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21" s="32" t="n"/>
      <c r="H521" s="33">
        <f>IF(Expenses[[#This Row],[Monthly Amount]]&lt;&gt;"",Expenses[[#This Row],[Monthly Amount]]/Income,"")</f>
        <v/>
      </c>
    </row>
    <row r="522" ht="24" customHeight="1">
      <c r="B522" s="31" t="n"/>
      <c r="C522" s="31" t="n"/>
      <c r="D522" s="32" t="n"/>
      <c r="E522" s="31" t="n"/>
      <c r="F52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22" s="32" t="n"/>
      <c r="H522" s="33">
        <f>IF(Expenses[[#This Row],[Monthly Amount]]&lt;&gt;"",Expenses[[#This Row],[Monthly Amount]]/Income,"")</f>
        <v/>
      </c>
    </row>
    <row r="523" ht="24" customHeight="1">
      <c r="B523" s="31" t="n"/>
      <c r="C523" s="31" t="n"/>
      <c r="D523" s="32" t="n"/>
      <c r="E523" s="31" t="n"/>
      <c r="F52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23" s="32" t="n"/>
      <c r="H523" s="33">
        <f>IF(Expenses[[#This Row],[Monthly Amount]]&lt;&gt;"",Expenses[[#This Row],[Monthly Amount]]/Income,"")</f>
        <v/>
      </c>
    </row>
    <row r="524" ht="24" customHeight="1">
      <c r="B524" s="31" t="n"/>
      <c r="C524" s="31" t="n"/>
      <c r="D524" s="32" t="n"/>
      <c r="E524" s="31" t="n"/>
      <c r="F52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24" s="32" t="n"/>
      <c r="H524" s="33">
        <f>IF(Expenses[[#This Row],[Monthly Amount]]&lt;&gt;"",Expenses[[#This Row],[Monthly Amount]]/Income,"")</f>
        <v/>
      </c>
    </row>
    <row r="525" ht="24" customHeight="1">
      <c r="B525" s="31" t="n"/>
      <c r="C525" s="31" t="n"/>
      <c r="D525" s="32" t="n"/>
      <c r="E525" s="31" t="n"/>
      <c r="F52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25" s="32" t="n"/>
      <c r="H525" s="33">
        <f>IF(Expenses[[#This Row],[Monthly Amount]]&lt;&gt;"",Expenses[[#This Row],[Monthly Amount]]/Income,"")</f>
        <v/>
      </c>
    </row>
    <row r="526" ht="24" customHeight="1">
      <c r="B526" s="31" t="n"/>
      <c r="C526" s="31" t="n"/>
      <c r="D526" s="32" t="n"/>
      <c r="E526" s="31" t="n"/>
      <c r="F52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26" s="32" t="n"/>
      <c r="H526" s="33">
        <f>IF(Expenses[[#This Row],[Monthly Amount]]&lt;&gt;"",Expenses[[#This Row],[Monthly Amount]]/Income,"")</f>
        <v/>
      </c>
    </row>
    <row r="527" ht="24" customHeight="1">
      <c r="B527" s="31" t="n"/>
      <c r="C527" s="31" t="n"/>
      <c r="D527" s="32" t="n"/>
      <c r="E527" s="31" t="n"/>
      <c r="F52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27" s="32" t="n"/>
      <c r="H527" s="33">
        <f>IF(Expenses[[#This Row],[Monthly Amount]]&lt;&gt;"",Expenses[[#This Row],[Monthly Amount]]/Income,"")</f>
        <v/>
      </c>
    </row>
    <row r="528" ht="24" customHeight="1">
      <c r="B528" s="31" t="n"/>
      <c r="C528" s="31" t="n"/>
      <c r="D528" s="32" t="n"/>
      <c r="E528" s="31" t="n"/>
      <c r="F52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28" s="32" t="n"/>
      <c r="H528" s="33">
        <f>IF(Expenses[[#This Row],[Monthly Amount]]&lt;&gt;"",Expenses[[#This Row],[Monthly Amount]]/Income,"")</f>
        <v/>
      </c>
    </row>
    <row r="529" ht="24" customHeight="1">
      <c r="B529" s="31" t="n"/>
      <c r="C529" s="31" t="n"/>
      <c r="D529" s="32" t="n"/>
      <c r="E529" s="31" t="n"/>
      <c r="F52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29" s="32" t="n"/>
      <c r="H529" s="33">
        <f>IF(Expenses[[#This Row],[Monthly Amount]]&lt;&gt;"",Expenses[[#This Row],[Monthly Amount]]/Income,"")</f>
        <v/>
      </c>
    </row>
    <row r="530" ht="24" customHeight="1">
      <c r="B530" s="31" t="n"/>
      <c r="C530" s="31" t="n"/>
      <c r="D530" s="32" t="n"/>
      <c r="E530" s="31" t="n"/>
      <c r="F53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30" s="32" t="n"/>
      <c r="H530" s="33">
        <f>IF(Expenses[[#This Row],[Monthly Amount]]&lt;&gt;"",Expenses[[#This Row],[Monthly Amount]]/Income,"")</f>
        <v/>
      </c>
    </row>
    <row r="531" ht="24" customHeight="1">
      <c r="B531" s="31" t="n"/>
      <c r="C531" s="31" t="n"/>
      <c r="D531" s="32" t="n"/>
      <c r="E531" s="31" t="n"/>
      <c r="F53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31" s="32" t="n"/>
      <c r="H531" s="33">
        <f>IF(Expenses[[#This Row],[Monthly Amount]]&lt;&gt;"",Expenses[[#This Row],[Monthly Amount]]/Income,"")</f>
        <v/>
      </c>
    </row>
    <row r="532" ht="24" customHeight="1">
      <c r="B532" s="31" t="n"/>
      <c r="C532" s="31" t="n"/>
      <c r="D532" s="32" t="n"/>
      <c r="E532" s="31" t="n"/>
      <c r="F53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32" s="32" t="n"/>
      <c r="H532" s="33">
        <f>IF(Expenses[[#This Row],[Monthly Amount]]&lt;&gt;"",Expenses[[#This Row],[Monthly Amount]]/Income,"")</f>
        <v/>
      </c>
    </row>
    <row r="533" ht="24" customHeight="1">
      <c r="B533" s="31" t="n"/>
      <c r="C533" s="31" t="n"/>
      <c r="D533" s="32" t="n"/>
      <c r="E533" s="31" t="n"/>
      <c r="F53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33" s="32" t="n"/>
      <c r="H533" s="33">
        <f>IF(Expenses[[#This Row],[Monthly Amount]]&lt;&gt;"",Expenses[[#This Row],[Monthly Amount]]/Income,"")</f>
        <v/>
      </c>
    </row>
    <row r="534" ht="24" customHeight="1">
      <c r="B534" s="31" t="n"/>
      <c r="C534" s="31" t="n"/>
      <c r="D534" s="32" t="n"/>
      <c r="E534" s="31" t="n"/>
      <c r="F53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34" s="32" t="n"/>
      <c r="H534" s="33">
        <f>IF(Expenses[[#This Row],[Monthly Amount]]&lt;&gt;"",Expenses[[#This Row],[Monthly Amount]]/Income,"")</f>
        <v/>
      </c>
    </row>
    <row r="535" ht="24" customHeight="1">
      <c r="B535" s="31" t="n"/>
      <c r="C535" s="31" t="n"/>
      <c r="D535" s="32" t="n"/>
      <c r="E535" s="31" t="n"/>
      <c r="F53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35" s="32" t="n"/>
      <c r="H535" s="33">
        <f>IF(Expenses[[#This Row],[Monthly Amount]]&lt;&gt;"",Expenses[[#This Row],[Monthly Amount]]/Income,"")</f>
        <v/>
      </c>
    </row>
    <row r="536" ht="24" customHeight="1">
      <c r="B536" s="31" t="n"/>
      <c r="C536" s="31" t="n"/>
      <c r="D536" s="32" t="n"/>
      <c r="E536" s="31" t="n"/>
      <c r="F53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36" s="32" t="n"/>
      <c r="H536" s="33">
        <f>IF(Expenses[[#This Row],[Monthly Amount]]&lt;&gt;"",Expenses[[#This Row],[Monthly Amount]]/Income,"")</f>
        <v/>
      </c>
    </row>
    <row r="537" ht="24" customHeight="1">
      <c r="B537" s="31" t="n"/>
      <c r="C537" s="31" t="n"/>
      <c r="D537" s="32" t="n"/>
      <c r="E537" s="31" t="n"/>
      <c r="F53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37" s="32" t="n"/>
      <c r="H537" s="33">
        <f>IF(Expenses[[#This Row],[Monthly Amount]]&lt;&gt;"",Expenses[[#This Row],[Monthly Amount]]/Income,"")</f>
        <v/>
      </c>
    </row>
    <row r="538" ht="24" customHeight="1">
      <c r="B538" s="31" t="n"/>
      <c r="C538" s="31" t="n"/>
      <c r="D538" s="32" t="n"/>
      <c r="E538" s="31" t="n"/>
      <c r="F53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38" s="32" t="n"/>
      <c r="H538" s="33">
        <f>IF(Expenses[[#This Row],[Monthly Amount]]&lt;&gt;"",Expenses[[#This Row],[Monthly Amount]]/Income,"")</f>
        <v/>
      </c>
    </row>
    <row r="539" ht="24" customHeight="1">
      <c r="B539" s="31" t="n"/>
      <c r="C539" s="31" t="n"/>
      <c r="D539" s="32" t="n"/>
      <c r="E539" s="31" t="n"/>
      <c r="F53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39" s="32" t="n"/>
      <c r="H539" s="33">
        <f>IF(Expenses[[#This Row],[Monthly Amount]]&lt;&gt;"",Expenses[[#This Row],[Monthly Amount]]/Income,"")</f>
        <v/>
      </c>
    </row>
    <row r="540" ht="24" customHeight="1">
      <c r="B540" s="31" t="n"/>
      <c r="C540" s="31" t="n"/>
      <c r="D540" s="32" t="n"/>
      <c r="E540" s="31" t="n"/>
      <c r="F54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40" s="32" t="n"/>
      <c r="H540" s="33">
        <f>IF(Expenses[[#This Row],[Monthly Amount]]&lt;&gt;"",Expenses[[#This Row],[Monthly Amount]]/Income,"")</f>
        <v/>
      </c>
    </row>
    <row r="541" ht="24" customHeight="1">
      <c r="B541" s="31" t="n"/>
      <c r="C541" s="31" t="n"/>
      <c r="D541" s="32" t="n"/>
      <c r="E541" s="31" t="n"/>
      <c r="F54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41" s="32" t="n"/>
      <c r="H541" s="33">
        <f>IF(Expenses[[#This Row],[Monthly Amount]]&lt;&gt;"",Expenses[[#This Row],[Monthly Amount]]/Income,"")</f>
        <v/>
      </c>
    </row>
    <row r="542" ht="24" customHeight="1">
      <c r="B542" s="31" t="n"/>
      <c r="C542" s="31" t="n"/>
      <c r="D542" s="32" t="n"/>
      <c r="E542" s="31" t="n"/>
      <c r="F54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42" s="32" t="n"/>
      <c r="H542" s="33">
        <f>IF(Expenses[[#This Row],[Monthly Amount]]&lt;&gt;"",Expenses[[#This Row],[Monthly Amount]]/Income,"")</f>
        <v/>
      </c>
    </row>
    <row r="543" ht="24" customHeight="1">
      <c r="B543" s="31" t="n"/>
      <c r="C543" s="31" t="n"/>
      <c r="D543" s="32" t="n"/>
      <c r="E543" s="31" t="n"/>
      <c r="F54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43" s="32" t="n"/>
      <c r="H543" s="33">
        <f>IF(Expenses[[#This Row],[Monthly Amount]]&lt;&gt;"",Expenses[[#This Row],[Monthly Amount]]/Income,"")</f>
        <v/>
      </c>
    </row>
    <row r="544" ht="24" customHeight="1">
      <c r="B544" s="31" t="n"/>
      <c r="C544" s="31" t="n"/>
      <c r="D544" s="32" t="n"/>
      <c r="E544" s="31" t="n"/>
      <c r="F54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44" s="32" t="n"/>
      <c r="H544" s="33">
        <f>IF(Expenses[[#This Row],[Monthly Amount]]&lt;&gt;"",Expenses[[#This Row],[Monthly Amount]]/Income,"")</f>
        <v/>
      </c>
    </row>
    <row r="545" ht="24" customHeight="1">
      <c r="B545" s="31" t="n"/>
      <c r="C545" s="31" t="n"/>
      <c r="D545" s="32" t="n"/>
      <c r="E545" s="31" t="n"/>
      <c r="F54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45" s="32" t="n"/>
      <c r="H545" s="33">
        <f>IF(Expenses[[#This Row],[Monthly Amount]]&lt;&gt;"",Expenses[[#This Row],[Monthly Amount]]/Income,"")</f>
        <v/>
      </c>
    </row>
    <row r="546" ht="24" customHeight="1">
      <c r="B546" s="31" t="n"/>
      <c r="C546" s="31" t="n"/>
      <c r="D546" s="32" t="n"/>
      <c r="E546" s="31" t="n"/>
      <c r="F54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46" s="32" t="n"/>
      <c r="H546" s="33">
        <f>IF(Expenses[[#This Row],[Monthly Amount]]&lt;&gt;"",Expenses[[#This Row],[Monthly Amount]]/Income,"")</f>
        <v/>
      </c>
    </row>
    <row r="547" ht="24" customHeight="1">
      <c r="B547" s="31" t="n"/>
      <c r="C547" s="31" t="n"/>
      <c r="D547" s="32" t="n"/>
      <c r="E547" s="31" t="n"/>
      <c r="F54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47" s="32" t="n"/>
      <c r="H547" s="33">
        <f>IF(Expenses[[#This Row],[Monthly Amount]]&lt;&gt;"",Expenses[[#This Row],[Monthly Amount]]/Income,"")</f>
        <v/>
      </c>
    </row>
    <row r="548" ht="24" customHeight="1">
      <c r="B548" s="31" t="n"/>
      <c r="C548" s="31" t="n"/>
      <c r="D548" s="32" t="n"/>
      <c r="E548" s="31" t="n"/>
      <c r="F54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48" s="32" t="n"/>
      <c r="H548" s="33">
        <f>IF(Expenses[[#This Row],[Monthly Amount]]&lt;&gt;"",Expenses[[#This Row],[Monthly Amount]]/Income,"")</f>
        <v/>
      </c>
    </row>
    <row r="549" ht="24" customHeight="1">
      <c r="B549" s="31" t="n"/>
      <c r="C549" s="31" t="n"/>
      <c r="D549" s="32" t="n"/>
      <c r="E549" s="31" t="n"/>
      <c r="F54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49" s="32" t="n"/>
      <c r="H549" s="33">
        <f>IF(Expenses[[#This Row],[Monthly Amount]]&lt;&gt;"",Expenses[[#This Row],[Monthly Amount]]/Income,"")</f>
        <v/>
      </c>
    </row>
    <row r="550" ht="24" customHeight="1">
      <c r="B550" s="31" t="n"/>
      <c r="C550" s="31" t="n"/>
      <c r="D550" s="32" t="n"/>
      <c r="E550" s="31" t="n"/>
      <c r="F55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50" s="32" t="n"/>
      <c r="H550" s="33">
        <f>IF(Expenses[[#This Row],[Monthly Amount]]&lt;&gt;"",Expenses[[#This Row],[Monthly Amount]]/Income,"")</f>
        <v/>
      </c>
    </row>
    <row r="551" ht="24" customHeight="1">
      <c r="B551" s="31" t="n"/>
      <c r="C551" s="31" t="n"/>
      <c r="D551" s="32" t="n"/>
      <c r="E551" s="31" t="n"/>
      <c r="F55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51" s="32" t="n"/>
      <c r="H551" s="33">
        <f>IF(Expenses[[#This Row],[Monthly Amount]]&lt;&gt;"",Expenses[[#This Row],[Monthly Amount]]/Income,"")</f>
        <v/>
      </c>
    </row>
    <row r="552" ht="24" customHeight="1">
      <c r="B552" s="31" t="n"/>
      <c r="C552" s="31" t="n"/>
      <c r="D552" s="32" t="n"/>
      <c r="E552" s="31" t="n"/>
      <c r="F55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52" s="32" t="n"/>
      <c r="H552" s="33">
        <f>IF(Expenses[[#This Row],[Monthly Amount]]&lt;&gt;"",Expenses[[#This Row],[Monthly Amount]]/Income,"")</f>
        <v/>
      </c>
    </row>
    <row r="553" ht="24" customHeight="1">
      <c r="B553" s="31" t="n"/>
      <c r="C553" s="31" t="n"/>
      <c r="D553" s="32" t="n"/>
      <c r="E553" s="31" t="n"/>
      <c r="F55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53" s="32" t="n"/>
      <c r="H553" s="33">
        <f>IF(Expenses[[#This Row],[Monthly Amount]]&lt;&gt;"",Expenses[[#This Row],[Monthly Amount]]/Income,"")</f>
        <v/>
      </c>
    </row>
    <row r="554" ht="24" customHeight="1">
      <c r="B554" s="31" t="n"/>
      <c r="C554" s="31" t="n"/>
      <c r="D554" s="32" t="n"/>
      <c r="E554" s="31" t="n"/>
      <c r="F55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54" s="32" t="n"/>
      <c r="H554" s="33">
        <f>IF(Expenses[[#This Row],[Monthly Amount]]&lt;&gt;"",Expenses[[#This Row],[Monthly Amount]]/Income,"")</f>
        <v/>
      </c>
    </row>
    <row r="555" ht="24" customHeight="1">
      <c r="B555" s="31" t="n"/>
      <c r="C555" s="31" t="n"/>
      <c r="D555" s="32" t="n"/>
      <c r="E555" s="31" t="n"/>
      <c r="F55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55" s="32" t="n"/>
      <c r="H555" s="33">
        <f>IF(Expenses[[#This Row],[Monthly Amount]]&lt;&gt;"",Expenses[[#This Row],[Monthly Amount]]/Income,"")</f>
        <v/>
      </c>
    </row>
    <row r="556" ht="24" customHeight="1">
      <c r="B556" s="31" t="n"/>
      <c r="C556" s="31" t="n"/>
      <c r="D556" s="32" t="n"/>
      <c r="E556" s="31" t="n"/>
      <c r="F55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56" s="32" t="n"/>
      <c r="H556" s="33">
        <f>IF(Expenses[[#This Row],[Monthly Amount]]&lt;&gt;"",Expenses[[#This Row],[Monthly Amount]]/Income,"")</f>
        <v/>
      </c>
    </row>
    <row r="557" ht="24" customHeight="1">
      <c r="B557" s="31" t="n"/>
      <c r="C557" s="31" t="n"/>
      <c r="D557" s="32" t="n"/>
      <c r="E557" s="31" t="n"/>
      <c r="F55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57" s="32" t="n"/>
      <c r="H557" s="33">
        <f>IF(Expenses[[#This Row],[Monthly Amount]]&lt;&gt;"",Expenses[[#This Row],[Monthly Amount]]/Income,"")</f>
        <v/>
      </c>
    </row>
    <row r="558" ht="24" customHeight="1">
      <c r="B558" s="31" t="n"/>
      <c r="C558" s="31" t="n"/>
      <c r="D558" s="32" t="n"/>
      <c r="E558" s="31" t="n"/>
      <c r="F55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58" s="32" t="n"/>
      <c r="H558" s="33">
        <f>IF(Expenses[[#This Row],[Monthly Amount]]&lt;&gt;"",Expenses[[#This Row],[Monthly Amount]]/Income,"")</f>
        <v/>
      </c>
    </row>
    <row r="559" ht="24" customHeight="1">
      <c r="B559" s="31" t="n"/>
      <c r="C559" s="31" t="n"/>
      <c r="D559" s="32" t="n"/>
      <c r="E559" s="31" t="n"/>
      <c r="F55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59" s="32" t="n"/>
      <c r="H559" s="33">
        <f>IF(Expenses[[#This Row],[Monthly Amount]]&lt;&gt;"",Expenses[[#This Row],[Monthly Amount]]/Income,"")</f>
        <v/>
      </c>
    </row>
    <row r="560" ht="24" customHeight="1">
      <c r="B560" s="31" t="n"/>
      <c r="C560" s="31" t="n"/>
      <c r="D560" s="32" t="n"/>
      <c r="E560" s="31" t="n"/>
      <c r="F56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60" s="32" t="n"/>
      <c r="H560" s="33">
        <f>IF(Expenses[[#This Row],[Monthly Amount]]&lt;&gt;"",Expenses[[#This Row],[Monthly Amount]]/Income,"")</f>
        <v/>
      </c>
    </row>
    <row r="561" ht="24" customHeight="1">
      <c r="B561" s="31" t="n"/>
      <c r="C561" s="31" t="n"/>
      <c r="D561" s="32" t="n"/>
      <c r="E561" s="31" t="n"/>
      <c r="F56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61" s="32" t="n"/>
      <c r="H561" s="33">
        <f>IF(Expenses[[#This Row],[Monthly Amount]]&lt;&gt;"",Expenses[[#This Row],[Monthly Amount]]/Income,"")</f>
        <v/>
      </c>
    </row>
    <row r="562" ht="24" customHeight="1">
      <c r="B562" s="31" t="n"/>
      <c r="C562" s="31" t="n"/>
      <c r="D562" s="32" t="n"/>
      <c r="E562" s="31" t="n"/>
      <c r="F56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62" s="32" t="n"/>
      <c r="H562" s="33">
        <f>IF(Expenses[[#This Row],[Monthly Amount]]&lt;&gt;"",Expenses[[#This Row],[Monthly Amount]]/Income,"")</f>
        <v/>
      </c>
    </row>
    <row r="563" ht="24" customHeight="1">
      <c r="B563" s="31" t="n"/>
      <c r="C563" s="31" t="n"/>
      <c r="D563" s="32" t="n"/>
      <c r="E563" s="31" t="n"/>
      <c r="F56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63" s="32" t="n"/>
      <c r="H563" s="33">
        <f>IF(Expenses[[#This Row],[Monthly Amount]]&lt;&gt;"",Expenses[[#This Row],[Monthly Amount]]/Income,"")</f>
        <v/>
      </c>
    </row>
    <row r="564" ht="24" customHeight="1">
      <c r="B564" s="31" t="n"/>
      <c r="C564" s="31" t="n"/>
      <c r="D564" s="32" t="n"/>
      <c r="E564" s="31" t="n"/>
      <c r="F56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64" s="32" t="n"/>
      <c r="H564" s="33">
        <f>IF(Expenses[[#This Row],[Monthly Amount]]&lt;&gt;"",Expenses[[#This Row],[Monthly Amount]]/Income,"")</f>
        <v/>
      </c>
    </row>
    <row r="565" ht="24" customHeight="1">
      <c r="B565" s="31" t="n"/>
      <c r="C565" s="31" t="n"/>
      <c r="D565" s="32" t="n"/>
      <c r="E565" s="31" t="n"/>
      <c r="F56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65" s="32" t="n"/>
      <c r="H565" s="33">
        <f>IF(Expenses[[#This Row],[Monthly Amount]]&lt;&gt;"",Expenses[[#This Row],[Monthly Amount]]/Income,"")</f>
        <v/>
      </c>
    </row>
    <row r="566" ht="24" customHeight="1">
      <c r="B566" s="31" t="n"/>
      <c r="C566" s="31" t="n"/>
      <c r="D566" s="32" t="n"/>
      <c r="E566" s="31" t="n"/>
      <c r="F56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66" s="32" t="n"/>
      <c r="H566" s="33">
        <f>IF(Expenses[[#This Row],[Monthly Amount]]&lt;&gt;"",Expenses[[#This Row],[Monthly Amount]]/Income,"")</f>
        <v/>
      </c>
    </row>
    <row r="567" ht="24" customHeight="1">
      <c r="B567" s="31" t="n"/>
      <c r="C567" s="31" t="n"/>
      <c r="D567" s="32" t="n"/>
      <c r="E567" s="31" t="n"/>
      <c r="F56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67" s="32" t="n"/>
      <c r="H567" s="33">
        <f>IF(Expenses[[#This Row],[Monthly Amount]]&lt;&gt;"",Expenses[[#This Row],[Monthly Amount]]/Income,"")</f>
        <v/>
      </c>
    </row>
    <row r="568" ht="24" customHeight="1">
      <c r="B568" s="31" t="n"/>
      <c r="C568" s="31" t="n"/>
      <c r="D568" s="32" t="n"/>
      <c r="E568" s="31" t="n"/>
      <c r="F56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68" s="32" t="n"/>
      <c r="H568" s="33">
        <f>IF(Expenses[[#This Row],[Monthly Amount]]&lt;&gt;"",Expenses[[#This Row],[Monthly Amount]]/Income,"")</f>
        <v/>
      </c>
    </row>
    <row r="569" ht="24" customHeight="1">
      <c r="B569" s="31" t="n"/>
      <c r="C569" s="31" t="n"/>
      <c r="D569" s="32" t="n"/>
      <c r="E569" s="31" t="n"/>
      <c r="F56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69" s="32" t="n"/>
      <c r="H569" s="33">
        <f>IF(Expenses[[#This Row],[Monthly Amount]]&lt;&gt;"",Expenses[[#This Row],[Monthly Amount]]/Income,"")</f>
        <v/>
      </c>
    </row>
    <row r="570" ht="24" customHeight="1">
      <c r="B570" s="31" t="n"/>
      <c r="C570" s="31" t="n"/>
      <c r="D570" s="32" t="n"/>
      <c r="E570" s="31" t="n"/>
      <c r="F57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70" s="32" t="n"/>
      <c r="H570" s="33">
        <f>IF(Expenses[[#This Row],[Monthly Amount]]&lt;&gt;"",Expenses[[#This Row],[Monthly Amount]]/Income,"")</f>
        <v/>
      </c>
    </row>
    <row r="571" ht="24" customHeight="1">
      <c r="B571" s="31" t="n"/>
      <c r="C571" s="31" t="n"/>
      <c r="D571" s="32" t="n"/>
      <c r="E571" s="31" t="n"/>
      <c r="F57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71" s="32" t="n"/>
      <c r="H571" s="33">
        <f>IF(Expenses[[#This Row],[Monthly Amount]]&lt;&gt;"",Expenses[[#This Row],[Monthly Amount]]/Income,"")</f>
        <v/>
      </c>
    </row>
    <row r="572" ht="24" customHeight="1">
      <c r="B572" s="31" t="n"/>
      <c r="C572" s="31" t="n"/>
      <c r="D572" s="32" t="n"/>
      <c r="E572" s="31" t="n"/>
      <c r="F57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72" s="32" t="n"/>
      <c r="H572" s="33">
        <f>IF(Expenses[[#This Row],[Monthly Amount]]&lt;&gt;"",Expenses[[#This Row],[Monthly Amount]]/Income,"")</f>
        <v/>
      </c>
    </row>
    <row r="573" ht="24" customHeight="1">
      <c r="B573" s="31" t="n"/>
      <c r="C573" s="31" t="n"/>
      <c r="D573" s="32" t="n"/>
      <c r="E573" s="31" t="n"/>
      <c r="F57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73" s="32" t="n"/>
      <c r="H573" s="33">
        <f>IF(Expenses[[#This Row],[Monthly Amount]]&lt;&gt;"",Expenses[[#This Row],[Monthly Amount]]/Income,"")</f>
        <v/>
      </c>
    </row>
    <row r="574" ht="24" customHeight="1">
      <c r="B574" s="31" t="n"/>
      <c r="C574" s="31" t="n"/>
      <c r="D574" s="32" t="n"/>
      <c r="E574" s="31" t="n"/>
      <c r="F57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74" s="32" t="n"/>
      <c r="H574" s="33">
        <f>IF(Expenses[[#This Row],[Monthly Amount]]&lt;&gt;"",Expenses[[#This Row],[Monthly Amount]]/Income,"")</f>
        <v/>
      </c>
    </row>
    <row r="575" ht="24" customHeight="1">
      <c r="B575" s="31" t="n"/>
      <c r="C575" s="31" t="n"/>
      <c r="D575" s="32" t="n"/>
      <c r="E575" s="31" t="n"/>
      <c r="F57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75" s="32" t="n"/>
      <c r="H575" s="33">
        <f>IF(Expenses[[#This Row],[Monthly Amount]]&lt;&gt;"",Expenses[[#This Row],[Monthly Amount]]/Income,"")</f>
        <v/>
      </c>
    </row>
    <row r="576" ht="24" customHeight="1">
      <c r="B576" s="31" t="n"/>
      <c r="C576" s="31" t="n"/>
      <c r="D576" s="32" t="n"/>
      <c r="E576" s="31" t="n"/>
      <c r="F57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76" s="32" t="n"/>
      <c r="H576" s="33">
        <f>IF(Expenses[[#This Row],[Monthly Amount]]&lt;&gt;"",Expenses[[#This Row],[Monthly Amount]]/Income,"")</f>
        <v/>
      </c>
    </row>
    <row r="577" ht="24" customHeight="1">
      <c r="B577" s="31" t="n"/>
      <c r="C577" s="31" t="n"/>
      <c r="D577" s="32" t="n"/>
      <c r="E577" s="31" t="n"/>
      <c r="F57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77" s="32" t="n"/>
      <c r="H577" s="33">
        <f>IF(Expenses[[#This Row],[Monthly Amount]]&lt;&gt;"",Expenses[[#This Row],[Monthly Amount]]/Income,"")</f>
        <v/>
      </c>
    </row>
    <row r="578" ht="24" customHeight="1">
      <c r="B578" s="31" t="n"/>
      <c r="C578" s="31" t="n"/>
      <c r="D578" s="32" t="n"/>
      <c r="E578" s="31" t="n"/>
      <c r="F57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78" s="32" t="n"/>
      <c r="H578" s="33">
        <f>IF(Expenses[[#This Row],[Monthly Amount]]&lt;&gt;"",Expenses[[#This Row],[Monthly Amount]]/Income,"")</f>
        <v/>
      </c>
    </row>
    <row r="579" ht="24" customHeight="1">
      <c r="B579" s="31" t="n"/>
      <c r="C579" s="31" t="n"/>
      <c r="D579" s="32" t="n"/>
      <c r="E579" s="31" t="n"/>
      <c r="F57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79" s="32" t="n"/>
      <c r="H579" s="33">
        <f>IF(Expenses[[#This Row],[Monthly Amount]]&lt;&gt;"",Expenses[[#This Row],[Monthly Amount]]/Income,"")</f>
        <v/>
      </c>
    </row>
    <row r="580" ht="24" customHeight="1">
      <c r="B580" s="31" t="n"/>
      <c r="C580" s="31" t="n"/>
      <c r="D580" s="32" t="n"/>
      <c r="E580" s="31" t="n"/>
      <c r="F58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80" s="32" t="n"/>
      <c r="H580" s="33">
        <f>IF(Expenses[[#This Row],[Monthly Amount]]&lt;&gt;"",Expenses[[#This Row],[Monthly Amount]]/Income,"")</f>
        <v/>
      </c>
    </row>
    <row r="581" ht="24" customHeight="1">
      <c r="B581" s="31" t="n"/>
      <c r="C581" s="31" t="n"/>
      <c r="D581" s="32" t="n"/>
      <c r="E581" s="31" t="n"/>
      <c r="F58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81" s="32" t="n"/>
      <c r="H581" s="33">
        <f>IF(Expenses[[#This Row],[Monthly Amount]]&lt;&gt;"",Expenses[[#This Row],[Monthly Amount]]/Income,"")</f>
        <v/>
      </c>
    </row>
    <row r="582" ht="24" customHeight="1">
      <c r="B582" s="31" t="n"/>
      <c r="C582" s="31" t="n"/>
      <c r="D582" s="32" t="n"/>
      <c r="E582" s="31" t="n"/>
      <c r="F58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82" s="32" t="n"/>
      <c r="H582" s="33">
        <f>IF(Expenses[[#This Row],[Monthly Amount]]&lt;&gt;"",Expenses[[#This Row],[Monthly Amount]]/Income,"")</f>
        <v/>
      </c>
    </row>
    <row r="583" ht="24" customHeight="1">
      <c r="B583" s="31" t="n"/>
      <c r="C583" s="31" t="n"/>
      <c r="D583" s="32" t="n"/>
      <c r="E583" s="31" t="n"/>
      <c r="F58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83" s="32" t="n"/>
      <c r="H583" s="33">
        <f>IF(Expenses[[#This Row],[Monthly Amount]]&lt;&gt;"",Expenses[[#This Row],[Monthly Amount]]/Income,"")</f>
        <v/>
      </c>
    </row>
    <row r="584" ht="24" customHeight="1">
      <c r="B584" s="31" t="n"/>
      <c r="C584" s="31" t="n"/>
      <c r="D584" s="32" t="n"/>
      <c r="E584" s="31" t="n"/>
      <c r="F58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84" s="32" t="n"/>
      <c r="H584" s="33">
        <f>IF(Expenses[[#This Row],[Monthly Amount]]&lt;&gt;"",Expenses[[#This Row],[Monthly Amount]]/Income,"")</f>
        <v/>
      </c>
    </row>
    <row r="585" ht="24" customHeight="1">
      <c r="B585" s="31" t="n"/>
      <c r="C585" s="31" t="n"/>
      <c r="D585" s="32" t="n"/>
      <c r="E585" s="31" t="n"/>
      <c r="F58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85" s="32" t="n"/>
      <c r="H585" s="33">
        <f>IF(Expenses[[#This Row],[Monthly Amount]]&lt;&gt;"",Expenses[[#This Row],[Monthly Amount]]/Income,"")</f>
        <v/>
      </c>
    </row>
    <row r="586" ht="24" customHeight="1">
      <c r="B586" s="31" t="n"/>
      <c r="C586" s="31" t="n"/>
      <c r="D586" s="32" t="n"/>
      <c r="E586" s="31" t="n"/>
      <c r="F58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86" s="32" t="n"/>
      <c r="H586" s="33">
        <f>IF(Expenses[[#This Row],[Monthly Amount]]&lt;&gt;"",Expenses[[#This Row],[Monthly Amount]]/Income,"")</f>
        <v/>
      </c>
    </row>
    <row r="587" ht="24" customHeight="1">
      <c r="B587" s="31" t="n"/>
      <c r="C587" s="31" t="n"/>
      <c r="D587" s="32" t="n"/>
      <c r="E587" s="31" t="n"/>
      <c r="F58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87" s="32" t="n"/>
      <c r="H587" s="33">
        <f>IF(Expenses[[#This Row],[Monthly Amount]]&lt;&gt;"",Expenses[[#This Row],[Monthly Amount]]/Income,"")</f>
        <v/>
      </c>
    </row>
    <row r="588" ht="24" customHeight="1">
      <c r="B588" s="31" t="n"/>
      <c r="C588" s="31" t="n"/>
      <c r="D588" s="32" t="n"/>
      <c r="E588" s="31" t="n"/>
      <c r="F58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88" s="32" t="n"/>
      <c r="H588" s="33">
        <f>IF(Expenses[[#This Row],[Monthly Amount]]&lt;&gt;"",Expenses[[#This Row],[Monthly Amount]]/Income,"")</f>
        <v/>
      </c>
    </row>
    <row r="589" ht="24" customHeight="1">
      <c r="B589" s="31" t="n"/>
      <c r="C589" s="31" t="n"/>
      <c r="D589" s="32" t="n"/>
      <c r="E589" s="31" t="n"/>
      <c r="F58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89" s="32" t="n"/>
      <c r="H589" s="33">
        <f>IF(Expenses[[#This Row],[Monthly Amount]]&lt;&gt;"",Expenses[[#This Row],[Monthly Amount]]/Income,"")</f>
        <v/>
      </c>
    </row>
    <row r="590" ht="24" customHeight="1">
      <c r="B590" s="31" t="n"/>
      <c r="C590" s="31" t="n"/>
      <c r="D590" s="32" t="n"/>
      <c r="E590" s="31" t="n"/>
      <c r="F59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90" s="32" t="n"/>
      <c r="H590" s="33">
        <f>IF(Expenses[[#This Row],[Monthly Amount]]&lt;&gt;"",Expenses[[#This Row],[Monthly Amount]]/Income,"")</f>
        <v/>
      </c>
    </row>
    <row r="591" ht="24" customHeight="1">
      <c r="B591" s="31" t="n"/>
      <c r="C591" s="31" t="n"/>
      <c r="D591" s="32" t="n"/>
      <c r="E591" s="31" t="n"/>
      <c r="F59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91" s="32" t="n"/>
      <c r="H591" s="33">
        <f>IF(Expenses[[#This Row],[Monthly Amount]]&lt;&gt;"",Expenses[[#This Row],[Monthly Amount]]/Income,"")</f>
        <v/>
      </c>
    </row>
    <row r="592" ht="24" customHeight="1">
      <c r="B592" s="31" t="n"/>
      <c r="C592" s="31" t="n"/>
      <c r="D592" s="32" t="n"/>
      <c r="E592" s="31" t="n"/>
      <c r="F59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92" s="32" t="n"/>
      <c r="H592" s="33">
        <f>IF(Expenses[[#This Row],[Monthly Amount]]&lt;&gt;"",Expenses[[#This Row],[Monthly Amount]]/Income,"")</f>
        <v/>
      </c>
    </row>
    <row r="593" ht="24" customHeight="1">
      <c r="B593" s="31" t="n"/>
      <c r="C593" s="31" t="n"/>
      <c r="D593" s="32" t="n"/>
      <c r="E593" s="31" t="n"/>
      <c r="F59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93" s="32" t="n"/>
      <c r="H593" s="33">
        <f>IF(Expenses[[#This Row],[Monthly Amount]]&lt;&gt;"",Expenses[[#This Row],[Monthly Amount]]/Income,"")</f>
        <v/>
      </c>
    </row>
    <row r="594" ht="24" customHeight="1">
      <c r="B594" s="31" t="n"/>
      <c r="C594" s="31" t="n"/>
      <c r="D594" s="32" t="n"/>
      <c r="E594" s="31" t="n"/>
      <c r="F59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94" s="32" t="n"/>
      <c r="H594" s="33">
        <f>IF(Expenses[[#This Row],[Monthly Amount]]&lt;&gt;"",Expenses[[#This Row],[Monthly Amount]]/Income,"")</f>
        <v/>
      </c>
    </row>
    <row r="595" ht="24" customHeight="1">
      <c r="B595" s="31" t="n"/>
      <c r="C595" s="31" t="n"/>
      <c r="D595" s="32" t="n"/>
      <c r="E595" s="31" t="n"/>
      <c r="F59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95" s="32" t="n"/>
      <c r="H595" s="33">
        <f>IF(Expenses[[#This Row],[Monthly Amount]]&lt;&gt;"",Expenses[[#This Row],[Monthly Amount]]/Income,"")</f>
        <v/>
      </c>
    </row>
    <row r="596" ht="24" customHeight="1">
      <c r="B596" s="31" t="n"/>
      <c r="C596" s="31" t="n"/>
      <c r="D596" s="32" t="n"/>
      <c r="E596" s="31" t="n"/>
      <c r="F59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96" s="32" t="n"/>
      <c r="H596" s="33">
        <f>IF(Expenses[[#This Row],[Monthly Amount]]&lt;&gt;"",Expenses[[#This Row],[Monthly Amount]]/Income,"")</f>
        <v/>
      </c>
    </row>
    <row r="597" ht="24" customHeight="1">
      <c r="B597" s="31" t="n"/>
      <c r="C597" s="31" t="n"/>
      <c r="D597" s="32" t="n"/>
      <c r="E597" s="31" t="n"/>
      <c r="F59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97" s="32" t="n"/>
      <c r="H597" s="33">
        <f>IF(Expenses[[#This Row],[Monthly Amount]]&lt;&gt;"",Expenses[[#This Row],[Monthly Amount]]/Income,"")</f>
        <v/>
      </c>
    </row>
    <row r="598" ht="24" customHeight="1">
      <c r="B598" s="31" t="n"/>
      <c r="C598" s="31" t="n"/>
      <c r="D598" s="32" t="n"/>
      <c r="E598" s="31" t="n"/>
      <c r="F59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98" s="32" t="n"/>
      <c r="H598" s="33">
        <f>IF(Expenses[[#This Row],[Monthly Amount]]&lt;&gt;"",Expenses[[#This Row],[Monthly Amount]]/Income,"")</f>
        <v/>
      </c>
    </row>
    <row r="599" ht="24" customHeight="1">
      <c r="B599" s="31" t="n"/>
      <c r="C599" s="31" t="n"/>
      <c r="D599" s="32" t="n"/>
      <c r="E599" s="31" t="n"/>
      <c r="F59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99" s="32" t="n"/>
      <c r="H599" s="33">
        <f>IF(Expenses[[#This Row],[Monthly Amount]]&lt;&gt;"",Expenses[[#This Row],[Monthly Amount]]/Income,"")</f>
        <v/>
      </c>
    </row>
    <row r="600" ht="24" customHeight="1">
      <c r="B600" s="31" t="n"/>
      <c r="C600" s="31" t="n"/>
      <c r="D600" s="32" t="n"/>
      <c r="E600" s="31" t="n"/>
      <c r="F60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00" s="32" t="n"/>
      <c r="H600" s="33">
        <f>IF(Expenses[[#This Row],[Monthly Amount]]&lt;&gt;"",Expenses[[#This Row],[Monthly Amount]]/Income,"")</f>
        <v/>
      </c>
    </row>
    <row r="601" ht="24" customHeight="1">
      <c r="B601" s="31" t="n"/>
      <c r="C601" s="31" t="n"/>
      <c r="D601" s="32" t="n"/>
      <c r="E601" s="31" t="n"/>
      <c r="F60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01" s="32" t="n"/>
      <c r="H601" s="33">
        <f>IF(Expenses[[#This Row],[Monthly Amount]]&lt;&gt;"",Expenses[[#This Row],[Monthly Amount]]/Income,"")</f>
        <v/>
      </c>
    </row>
    <row r="602" ht="24" customHeight="1">
      <c r="B602" s="31" t="n"/>
      <c r="C602" s="31" t="n"/>
      <c r="D602" s="32" t="n"/>
      <c r="E602" s="31" t="n"/>
      <c r="F60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02" s="32" t="n"/>
      <c r="H602" s="33">
        <f>IF(Expenses[[#This Row],[Monthly Amount]]&lt;&gt;"",Expenses[[#This Row],[Monthly Amount]]/Income,"")</f>
        <v/>
      </c>
    </row>
    <row r="603" ht="24" customHeight="1">
      <c r="B603" s="31" t="n"/>
      <c r="C603" s="31" t="n"/>
      <c r="D603" s="32" t="n"/>
      <c r="E603" s="31" t="n"/>
      <c r="F60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03" s="32" t="n"/>
      <c r="H603" s="33">
        <f>IF(Expenses[[#This Row],[Monthly Amount]]&lt;&gt;"",Expenses[[#This Row],[Monthly Amount]]/Income,"")</f>
        <v/>
      </c>
    </row>
    <row r="604" ht="24" customHeight="1">
      <c r="B604" s="31" t="n"/>
      <c r="C604" s="31" t="n"/>
      <c r="D604" s="32" t="n"/>
      <c r="E604" s="31" t="n"/>
      <c r="F60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04" s="32" t="n"/>
      <c r="H604" s="33">
        <f>IF(Expenses[[#This Row],[Monthly Amount]]&lt;&gt;"",Expenses[[#This Row],[Monthly Amount]]/Income,"")</f>
        <v/>
      </c>
    </row>
    <row r="605" ht="24" customHeight="1">
      <c r="B605" s="31" t="n"/>
      <c r="C605" s="31" t="n"/>
      <c r="D605" s="32" t="n"/>
      <c r="E605" s="31" t="n"/>
      <c r="F60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05" s="32" t="n"/>
      <c r="H605" s="33">
        <f>IF(Expenses[[#This Row],[Monthly Amount]]&lt;&gt;"",Expenses[[#This Row],[Monthly Amount]]/Income,"")</f>
        <v/>
      </c>
    </row>
    <row r="606" ht="24" customHeight="1">
      <c r="B606" s="31" t="n"/>
      <c r="C606" s="31" t="n"/>
      <c r="D606" s="32" t="n"/>
      <c r="E606" s="31" t="n"/>
      <c r="F60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06" s="32" t="n"/>
      <c r="H606" s="33">
        <f>IF(Expenses[[#This Row],[Monthly Amount]]&lt;&gt;"",Expenses[[#This Row],[Monthly Amount]]/Income,"")</f>
        <v/>
      </c>
    </row>
    <row r="607" ht="24" customHeight="1">
      <c r="B607" s="31" t="n"/>
      <c r="C607" s="31" t="n"/>
      <c r="D607" s="32" t="n"/>
      <c r="E607" s="31" t="n"/>
      <c r="F60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07" s="32" t="n"/>
      <c r="H607" s="33">
        <f>IF(Expenses[[#This Row],[Monthly Amount]]&lt;&gt;"",Expenses[[#This Row],[Monthly Amount]]/Income,"")</f>
        <v/>
      </c>
    </row>
    <row r="608" ht="24" customHeight="1">
      <c r="B608" s="31" t="n"/>
      <c r="C608" s="31" t="n"/>
      <c r="D608" s="32" t="n"/>
      <c r="E608" s="31" t="n"/>
      <c r="F60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08" s="32" t="n"/>
      <c r="H608" s="33">
        <f>IF(Expenses[[#This Row],[Monthly Amount]]&lt;&gt;"",Expenses[[#This Row],[Monthly Amount]]/Income,"")</f>
        <v/>
      </c>
    </row>
    <row r="609" ht="24" customHeight="1">
      <c r="B609" s="31" t="n"/>
      <c r="C609" s="31" t="n"/>
      <c r="D609" s="32" t="n"/>
      <c r="E609" s="31" t="n"/>
      <c r="F60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09" s="32" t="n"/>
      <c r="H609" s="33">
        <f>IF(Expenses[[#This Row],[Monthly Amount]]&lt;&gt;"",Expenses[[#This Row],[Monthly Amount]]/Income,"")</f>
        <v/>
      </c>
    </row>
    <row r="610" ht="24" customHeight="1">
      <c r="B610" s="31" t="n"/>
      <c r="C610" s="31" t="n"/>
      <c r="D610" s="32" t="n"/>
      <c r="E610" s="31" t="n"/>
      <c r="F61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10" s="32" t="n"/>
      <c r="H610" s="33">
        <f>IF(Expenses[[#This Row],[Monthly Amount]]&lt;&gt;"",Expenses[[#This Row],[Monthly Amount]]/Income,"")</f>
        <v/>
      </c>
    </row>
    <row r="611" ht="24" customHeight="1">
      <c r="B611" s="31" t="n"/>
      <c r="C611" s="31" t="n"/>
      <c r="D611" s="32" t="n"/>
      <c r="E611" s="31" t="n"/>
      <c r="F61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11" s="32" t="n"/>
      <c r="H611" s="33">
        <f>IF(Expenses[[#This Row],[Monthly Amount]]&lt;&gt;"",Expenses[[#This Row],[Monthly Amount]]/Income,"")</f>
        <v/>
      </c>
    </row>
    <row r="612" ht="24" customHeight="1">
      <c r="B612" s="31" t="n"/>
      <c r="C612" s="31" t="n"/>
      <c r="D612" s="32" t="n"/>
      <c r="E612" s="31" t="n"/>
      <c r="F61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12" s="32" t="n"/>
      <c r="H612" s="33">
        <f>IF(Expenses[[#This Row],[Monthly Amount]]&lt;&gt;"",Expenses[[#This Row],[Monthly Amount]]/Income,"")</f>
        <v/>
      </c>
    </row>
    <row r="613" ht="24" customHeight="1">
      <c r="B613" s="31" t="n"/>
      <c r="C613" s="31" t="n"/>
      <c r="D613" s="32" t="n"/>
      <c r="E613" s="31" t="n"/>
      <c r="F61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13" s="32" t="n"/>
      <c r="H613" s="33">
        <f>IF(Expenses[[#This Row],[Monthly Amount]]&lt;&gt;"",Expenses[[#This Row],[Monthly Amount]]/Income,"")</f>
        <v/>
      </c>
    </row>
    <row r="614" ht="24" customHeight="1">
      <c r="B614" s="31" t="n"/>
      <c r="C614" s="31" t="n"/>
      <c r="D614" s="32" t="n"/>
      <c r="E614" s="31" t="n"/>
      <c r="F61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14" s="32" t="n"/>
      <c r="H614" s="33">
        <f>IF(Expenses[[#This Row],[Monthly Amount]]&lt;&gt;"",Expenses[[#This Row],[Monthly Amount]]/Income,"")</f>
        <v/>
      </c>
    </row>
    <row r="615" ht="24" customHeight="1">
      <c r="B615" s="31" t="n"/>
      <c r="C615" s="31" t="n"/>
      <c r="D615" s="32" t="n"/>
      <c r="E615" s="31" t="n"/>
      <c r="F61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15" s="32" t="n"/>
      <c r="H615" s="33">
        <f>IF(Expenses[[#This Row],[Monthly Amount]]&lt;&gt;"",Expenses[[#This Row],[Monthly Amount]]/Income,"")</f>
        <v/>
      </c>
    </row>
    <row r="616" ht="24" customHeight="1">
      <c r="B616" s="31" t="n"/>
      <c r="C616" s="31" t="n"/>
      <c r="D616" s="32" t="n"/>
      <c r="E616" s="31" t="n"/>
      <c r="F61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16" s="32" t="n"/>
      <c r="H616" s="33">
        <f>IF(Expenses[[#This Row],[Monthly Amount]]&lt;&gt;"",Expenses[[#This Row],[Monthly Amount]]/Income,"")</f>
        <v/>
      </c>
    </row>
    <row r="617" ht="24" customHeight="1">
      <c r="B617" s="31" t="n"/>
      <c r="C617" s="31" t="n"/>
      <c r="D617" s="32" t="n"/>
      <c r="E617" s="31" t="n"/>
      <c r="F61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17" s="32" t="n"/>
      <c r="H617" s="33">
        <f>IF(Expenses[[#This Row],[Monthly Amount]]&lt;&gt;"",Expenses[[#This Row],[Monthly Amount]]/Income,"")</f>
        <v/>
      </c>
    </row>
    <row r="618" ht="24" customHeight="1">
      <c r="B618" s="31" t="n"/>
      <c r="C618" s="31" t="n"/>
      <c r="D618" s="32" t="n"/>
      <c r="E618" s="31" t="n"/>
      <c r="F61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18" s="32" t="n"/>
      <c r="H618" s="33">
        <f>IF(Expenses[[#This Row],[Monthly Amount]]&lt;&gt;"",Expenses[[#This Row],[Monthly Amount]]/Income,"")</f>
        <v/>
      </c>
    </row>
    <row r="619" ht="24" customHeight="1">
      <c r="B619" s="31" t="n"/>
      <c r="C619" s="31" t="n"/>
      <c r="D619" s="32" t="n"/>
      <c r="E619" s="31" t="n"/>
      <c r="F61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19" s="32" t="n"/>
      <c r="H619" s="33">
        <f>IF(Expenses[[#This Row],[Monthly Amount]]&lt;&gt;"",Expenses[[#This Row],[Monthly Amount]]/Income,"")</f>
        <v/>
      </c>
    </row>
    <row r="620" ht="24" customHeight="1">
      <c r="B620" s="31" t="n"/>
      <c r="C620" s="31" t="n"/>
      <c r="D620" s="32" t="n"/>
      <c r="E620" s="31" t="n"/>
      <c r="F62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20" s="32" t="n"/>
      <c r="H620" s="33">
        <f>IF(Expenses[[#This Row],[Monthly Amount]]&lt;&gt;"",Expenses[[#This Row],[Monthly Amount]]/Income,"")</f>
        <v/>
      </c>
    </row>
    <row r="621" ht="24" customHeight="1">
      <c r="B621" s="31" t="n"/>
      <c r="C621" s="31" t="n"/>
      <c r="D621" s="32" t="n"/>
      <c r="E621" s="31" t="n"/>
      <c r="F62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21" s="32" t="n"/>
      <c r="H621" s="33">
        <f>IF(Expenses[[#This Row],[Monthly Amount]]&lt;&gt;"",Expenses[[#This Row],[Monthly Amount]]/Income,"")</f>
        <v/>
      </c>
    </row>
    <row r="622" ht="24" customHeight="1">
      <c r="B622" s="31" t="n"/>
      <c r="C622" s="31" t="n"/>
      <c r="D622" s="32" t="n"/>
      <c r="E622" s="31" t="n"/>
      <c r="F62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22" s="32" t="n"/>
      <c r="H622" s="33">
        <f>IF(Expenses[[#This Row],[Monthly Amount]]&lt;&gt;"",Expenses[[#This Row],[Monthly Amount]]/Income,"")</f>
        <v/>
      </c>
    </row>
    <row r="623" ht="24" customHeight="1">
      <c r="B623" s="31" t="n"/>
      <c r="C623" s="31" t="n"/>
      <c r="D623" s="32" t="n"/>
      <c r="E623" s="31" t="n"/>
      <c r="F62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23" s="32" t="n"/>
      <c r="H623" s="33">
        <f>IF(Expenses[[#This Row],[Monthly Amount]]&lt;&gt;"",Expenses[[#This Row],[Monthly Amount]]/Income,"")</f>
        <v/>
      </c>
    </row>
    <row r="624" ht="24" customHeight="1">
      <c r="B624" s="31" t="n"/>
      <c r="C624" s="31" t="n"/>
      <c r="D624" s="32" t="n"/>
      <c r="E624" s="31" t="n"/>
      <c r="F62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24" s="32" t="n"/>
      <c r="H624" s="33">
        <f>IF(Expenses[[#This Row],[Monthly Amount]]&lt;&gt;"",Expenses[[#This Row],[Monthly Amount]]/Income,"")</f>
        <v/>
      </c>
    </row>
    <row r="625" ht="24" customHeight="1">
      <c r="B625" s="31" t="n"/>
      <c r="C625" s="31" t="n"/>
      <c r="D625" s="32" t="n"/>
      <c r="E625" s="31" t="n"/>
      <c r="F62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25" s="32" t="n"/>
      <c r="H625" s="33">
        <f>IF(Expenses[[#This Row],[Monthly Amount]]&lt;&gt;"",Expenses[[#This Row],[Monthly Amount]]/Income,"")</f>
        <v/>
      </c>
    </row>
    <row r="626" ht="24" customHeight="1">
      <c r="B626" s="31" t="n"/>
      <c r="C626" s="31" t="n"/>
      <c r="D626" s="32" t="n"/>
      <c r="E626" s="31" t="n"/>
      <c r="F62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26" s="32" t="n"/>
      <c r="H626" s="33">
        <f>IF(Expenses[[#This Row],[Monthly Amount]]&lt;&gt;"",Expenses[[#This Row],[Monthly Amount]]/Income,"")</f>
        <v/>
      </c>
    </row>
    <row r="627" ht="24" customHeight="1">
      <c r="B627" s="31" t="n"/>
      <c r="C627" s="31" t="n"/>
      <c r="D627" s="32" t="n"/>
      <c r="E627" s="31" t="n"/>
      <c r="F62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27" s="32" t="n"/>
      <c r="H627" s="33">
        <f>IF(Expenses[[#This Row],[Monthly Amount]]&lt;&gt;"",Expenses[[#This Row],[Monthly Amount]]/Income,"")</f>
        <v/>
      </c>
    </row>
    <row r="628" ht="24" customHeight="1">
      <c r="B628" s="31" t="n"/>
      <c r="C628" s="31" t="n"/>
      <c r="D628" s="32" t="n"/>
      <c r="E628" s="31" t="n"/>
      <c r="F62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28" s="32" t="n"/>
      <c r="H628" s="33">
        <f>IF(Expenses[[#This Row],[Monthly Amount]]&lt;&gt;"",Expenses[[#This Row],[Monthly Amount]]/Income,"")</f>
        <v/>
      </c>
    </row>
    <row r="629" ht="24" customHeight="1">
      <c r="B629" s="31" t="n"/>
      <c r="C629" s="31" t="n"/>
      <c r="D629" s="32" t="n"/>
      <c r="E629" s="31" t="n"/>
      <c r="F62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29" s="32" t="n"/>
      <c r="H629" s="33">
        <f>IF(Expenses[[#This Row],[Monthly Amount]]&lt;&gt;"",Expenses[[#This Row],[Monthly Amount]]/Income,"")</f>
        <v/>
      </c>
    </row>
    <row r="630" ht="24" customHeight="1">
      <c r="B630" s="31" t="n"/>
      <c r="C630" s="31" t="n"/>
      <c r="D630" s="32" t="n"/>
      <c r="E630" s="31" t="n"/>
      <c r="F63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30" s="32" t="n"/>
      <c r="H630" s="33">
        <f>IF(Expenses[[#This Row],[Monthly Amount]]&lt;&gt;"",Expenses[[#This Row],[Monthly Amount]]/Income,"")</f>
        <v/>
      </c>
    </row>
    <row r="631" ht="24" customHeight="1">
      <c r="B631" s="31" t="n"/>
      <c r="C631" s="31" t="n"/>
      <c r="D631" s="32" t="n"/>
      <c r="E631" s="31" t="n"/>
      <c r="F63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31" s="32" t="n"/>
      <c r="H631" s="33">
        <f>IF(Expenses[[#This Row],[Monthly Amount]]&lt;&gt;"",Expenses[[#This Row],[Monthly Amount]]/Income,"")</f>
        <v/>
      </c>
    </row>
    <row r="632" ht="24" customHeight="1">
      <c r="B632" s="31" t="n"/>
      <c r="C632" s="31" t="n"/>
      <c r="D632" s="32" t="n"/>
      <c r="E632" s="31" t="n"/>
      <c r="F63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32" s="32" t="n"/>
      <c r="H632" s="33">
        <f>IF(Expenses[[#This Row],[Monthly Amount]]&lt;&gt;"",Expenses[[#This Row],[Monthly Amount]]/Income,"")</f>
        <v/>
      </c>
    </row>
    <row r="633" ht="24" customHeight="1">
      <c r="B633" s="31" t="n"/>
      <c r="C633" s="31" t="n"/>
      <c r="D633" s="32" t="n"/>
      <c r="E633" s="31" t="n"/>
      <c r="F63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33" s="32" t="n"/>
      <c r="H633" s="33">
        <f>IF(Expenses[[#This Row],[Monthly Amount]]&lt;&gt;"",Expenses[[#This Row],[Monthly Amount]]/Income,"")</f>
        <v/>
      </c>
    </row>
    <row r="634" ht="24" customHeight="1">
      <c r="B634" s="31" t="n"/>
      <c r="C634" s="31" t="n"/>
      <c r="D634" s="32" t="n"/>
      <c r="E634" s="31" t="n"/>
      <c r="F63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34" s="32" t="n"/>
      <c r="H634" s="33">
        <f>IF(Expenses[[#This Row],[Monthly Amount]]&lt;&gt;"",Expenses[[#This Row],[Monthly Amount]]/Income,"")</f>
        <v/>
      </c>
    </row>
    <row r="635" ht="24" customHeight="1">
      <c r="B635" s="31" t="n"/>
      <c r="C635" s="31" t="n"/>
      <c r="D635" s="32" t="n"/>
      <c r="E635" s="31" t="n"/>
      <c r="F63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35" s="32" t="n"/>
      <c r="H635" s="33">
        <f>IF(Expenses[[#This Row],[Monthly Amount]]&lt;&gt;"",Expenses[[#This Row],[Monthly Amount]]/Income,"")</f>
        <v/>
      </c>
    </row>
    <row r="636" ht="24" customHeight="1">
      <c r="B636" s="31" t="n"/>
      <c r="C636" s="31" t="n"/>
      <c r="D636" s="32" t="n"/>
      <c r="E636" s="31" t="n"/>
      <c r="F63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36" s="32" t="n"/>
      <c r="H636" s="33">
        <f>IF(Expenses[[#This Row],[Monthly Amount]]&lt;&gt;"",Expenses[[#This Row],[Monthly Amount]]/Income,"")</f>
        <v/>
      </c>
    </row>
    <row r="637" ht="24" customHeight="1">
      <c r="B637" s="31" t="n"/>
      <c r="C637" s="31" t="n"/>
      <c r="D637" s="32" t="n"/>
      <c r="E637" s="31" t="n"/>
      <c r="F63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37" s="32" t="n"/>
      <c r="H637" s="33">
        <f>IF(Expenses[[#This Row],[Monthly Amount]]&lt;&gt;"",Expenses[[#This Row],[Monthly Amount]]/Income,"")</f>
        <v/>
      </c>
    </row>
    <row r="638" ht="24" customHeight="1">
      <c r="B638" s="31" t="n"/>
      <c r="C638" s="31" t="n"/>
      <c r="D638" s="32" t="n"/>
      <c r="E638" s="31" t="n"/>
      <c r="F63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38" s="32" t="n"/>
      <c r="H638" s="33">
        <f>IF(Expenses[[#This Row],[Monthly Amount]]&lt;&gt;"",Expenses[[#This Row],[Monthly Amount]]/Income,"")</f>
        <v/>
      </c>
    </row>
    <row r="639" ht="24" customHeight="1">
      <c r="B639" s="31" t="n"/>
      <c r="C639" s="31" t="n"/>
      <c r="D639" s="32" t="n"/>
      <c r="E639" s="31" t="n"/>
      <c r="F63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39" s="32" t="n"/>
      <c r="H639" s="33">
        <f>IF(Expenses[[#This Row],[Monthly Amount]]&lt;&gt;"",Expenses[[#This Row],[Monthly Amount]]/Income,"")</f>
        <v/>
      </c>
    </row>
    <row r="640" ht="24" customHeight="1">
      <c r="B640" s="31" t="n"/>
      <c r="C640" s="31" t="n"/>
      <c r="D640" s="32" t="n"/>
      <c r="E640" s="31" t="n"/>
      <c r="F64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40" s="32" t="n"/>
      <c r="H640" s="33">
        <f>IF(Expenses[[#This Row],[Monthly Amount]]&lt;&gt;"",Expenses[[#This Row],[Monthly Amount]]/Income,"")</f>
        <v/>
      </c>
    </row>
    <row r="641" ht="24" customHeight="1">
      <c r="B641" s="31" t="n"/>
      <c r="C641" s="31" t="n"/>
      <c r="D641" s="32" t="n"/>
      <c r="E641" s="31" t="n"/>
      <c r="F64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41" s="32" t="n"/>
      <c r="H641" s="33">
        <f>IF(Expenses[[#This Row],[Monthly Amount]]&lt;&gt;"",Expenses[[#This Row],[Monthly Amount]]/Income,"")</f>
        <v/>
      </c>
    </row>
    <row r="642" ht="24" customHeight="1">
      <c r="B642" s="31" t="n"/>
      <c r="C642" s="31" t="n"/>
      <c r="D642" s="32" t="n"/>
      <c r="E642" s="31" t="n"/>
      <c r="F64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42" s="32" t="n"/>
      <c r="H642" s="33">
        <f>IF(Expenses[[#This Row],[Monthly Amount]]&lt;&gt;"",Expenses[[#This Row],[Monthly Amount]]/Income,"")</f>
        <v/>
      </c>
    </row>
    <row r="643" ht="24" customHeight="1">
      <c r="B643" s="31" t="n"/>
      <c r="C643" s="31" t="n"/>
      <c r="D643" s="32" t="n"/>
      <c r="E643" s="31" t="n"/>
      <c r="F64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43" s="32" t="n"/>
      <c r="H643" s="33">
        <f>IF(Expenses[[#This Row],[Monthly Amount]]&lt;&gt;"",Expenses[[#This Row],[Monthly Amount]]/Income,"")</f>
        <v/>
      </c>
    </row>
    <row r="644" ht="24" customHeight="1">
      <c r="B644" s="31" t="n"/>
      <c r="C644" s="31" t="n"/>
      <c r="D644" s="32" t="n"/>
      <c r="E644" s="31" t="n"/>
      <c r="F64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44" s="32" t="n"/>
      <c r="H644" s="33">
        <f>IF(Expenses[[#This Row],[Monthly Amount]]&lt;&gt;"",Expenses[[#This Row],[Monthly Amount]]/Income,"")</f>
        <v/>
      </c>
    </row>
    <row r="645" ht="24" customHeight="1">
      <c r="B645" s="31" t="n"/>
      <c r="C645" s="31" t="n"/>
      <c r="D645" s="32" t="n"/>
      <c r="E645" s="31" t="n"/>
      <c r="F64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45" s="32" t="n"/>
      <c r="H645" s="33">
        <f>IF(Expenses[[#This Row],[Monthly Amount]]&lt;&gt;"",Expenses[[#This Row],[Monthly Amount]]/Income,"")</f>
        <v/>
      </c>
    </row>
    <row r="646" ht="24" customHeight="1">
      <c r="B646" s="31" t="n"/>
      <c r="C646" s="31" t="n"/>
      <c r="D646" s="32" t="n"/>
      <c r="E646" s="31" t="n"/>
      <c r="F64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46" s="32" t="n"/>
      <c r="H646" s="33">
        <f>IF(Expenses[[#This Row],[Monthly Amount]]&lt;&gt;"",Expenses[[#This Row],[Monthly Amount]]/Income,"")</f>
        <v/>
      </c>
    </row>
    <row r="647" ht="24" customHeight="1">
      <c r="B647" s="31" t="n"/>
      <c r="C647" s="31" t="n"/>
      <c r="D647" s="32" t="n"/>
      <c r="E647" s="31" t="n"/>
      <c r="F64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47" s="32" t="n"/>
      <c r="H647" s="33">
        <f>IF(Expenses[[#This Row],[Monthly Amount]]&lt;&gt;"",Expenses[[#This Row],[Monthly Amount]]/Income,"")</f>
        <v/>
      </c>
    </row>
    <row r="648" ht="24" customHeight="1">
      <c r="B648" s="31" t="n"/>
      <c r="C648" s="31" t="n"/>
      <c r="D648" s="32" t="n"/>
      <c r="E648" s="31" t="n"/>
      <c r="F64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48" s="32" t="n"/>
      <c r="H648" s="33">
        <f>IF(Expenses[[#This Row],[Monthly Amount]]&lt;&gt;"",Expenses[[#This Row],[Monthly Amount]]/Income,"")</f>
        <v/>
      </c>
    </row>
    <row r="649" ht="24" customHeight="1">
      <c r="B649" s="31" t="n"/>
      <c r="C649" s="31" t="n"/>
      <c r="D649" s="32" t="n"/>
      <c r="E649" s="31" t="n"/>
      <c r="F64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49" s="32" t="n"/>
      <c r="H649" s="33">
        <f>IF(Expenses[[#This Row],[Monthly Amount]]&lt;&gt;"",Expenses[[#This Row],[Monthly Amount]]/Income,"")</f>
        <v/>
      </c>
    </row>
    <row r="650" ht="24" customHeight="1">
      <c r="B650" s="31" t="n"/>
      <c r="C650" s="31" t="n"/>
      <c r="D650" s="32" t="n"/>
      <c r="E650" s="31" t="n"/>
      <c r="F65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50" s="32" t="n"/>
      <c r="H650" s="33">
        <f>IF(Expenses[[#This Row],[Monthly Amount]]&lt;&gt;"",Expenses[[#This Row],[Monthly Amount]]/Income,"")</f>
        <v/>
      </c>
    </row>
    <row r="651" ht="24" customHeight="1">
      <c r="B651" s="31" t="n"/>
      <c r="C651" s="31" t="n"/>
      <c r="D651" s="32" t="n"/>
      <c r="E651" s="31" t="n"/>
      <c r="F65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51" s="32" t="n"/>
      <c r="H651" s="33">
        <f>IF(Expenses[[#This Row],[Monthly Amount]]&lt;&gt;"",Expenses[[#This Row],[Monthly Amount]]/Income,"")</f>
        <v/>
      </c>
    </row>
    <row r="652" ht="24" customHeight="1">
      <c r="B652" s="31" t="n"/>
      <c r="C652" s="31" t="n"/>
      <c r="D652" s="32" t="n"/>
      <c r="E652" s="31" t="n"/>
      <c r="F65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52" s="32" t="n"/>
      <c r="H652" s="33">
        <f>IF(Expenses[[#This Row],[Monthly Amount]]&lt;&gt;"",Expenses[[#This Row],[Monthly Amount]]/Income,"")</f>
        <v/>
      </c>
    </row>
    <row r="653" ht="24" customHeight="1">
      <c r="B653" s="31" t="n"/>
      <c r="C653" s="31" t="n"/>
      <c r="D653" s="32" t="n"/>
      <c r="E653" s="31" t="n"/>
      <c r="F65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53" s="32" t="n"/>
      <c r="H653" s="33">
        <f>IF(Expenses[[#This Row],[Monthly Amount]]&lt;&gt;"",Expenses[[#This Row],[Monthly Amount]]/Income,"")</f>
        <v/>
      </c>
    </row>
    <row r="654" ht="24" customHeight="1">
      <c r="B654" s="31" t="n"/>
      <c r="C654" s="31" t="n"/>
      <c r="D654" s="32" t="n"/>
      <c r="E654" s="31" t="n"/>
      <c r="F65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54" s="32" t="n"/>
      <c r="H654" s="33">
        <f>IF(Expenses[[#This Row],[Monthly Amount]]&lt;&gt;"",Expenses[[#This Row],[Monthly Amount]]/Income,"")</f>
        <v/>
      </c>
    </row>
    <row r="655" ht="24" customHeight="1">
      <c r="B655" s="31" t="n"/>
      <c r="C655" s="31" t="n"/>
      <c r="D655" s="32" t="n"/>
      <c r="E655" s="31" t="n"/>
      <c r="F65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55" s="32" t="n"/>
      <c r="H655" s="33">
        <f>IF(Expenses[[#This Row],[Monthly Amount]]&lt;&gt;"",Expenses[[#This Row],[Monthly Amount]]/Income,"")</f>
        <v/>
      </c>
    </row>
    <row r="656" ht="24" customHeight="1">
      <c r="B656" s="31" t="n"/>
      <c r="C656" s="31" t="n"/>
      <c r="D656" s="32" t="n"/>
      <c r="E656" s="31" t="n"/>
      <c r="F65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56" s="32" t="n"/>
      <c r="H656" s="33">
        <f>IF(Expenses[[#This Row],[Monthly Amount]]&lt;&gt;"",Expenses[[#This Row],[Monthly Amount]]/Income,"")</f>
        <v/>
      </c>
    </row>
    <row r="657" ht="24" customHeight="1">
      <c r="B657" s="31" t="n"/>
      <c r="C657" s="31" t="n"/>
      <c r="D657" s="32" t="n"/>
      <c r="E657" s="31" t="n"/>
      <c r="F65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57" s="32" t="n"/>
      <c r="H657" s="33">
        <f>IF(Expenses[[#This Row],[Monthly Amount]]&lt;&gt;"",Expenses[[#This Row],[Monthly Amount]]/Income,"")</f>
        <v/>
      </c>
    </row>
    <row r="658" ht="24" customHeight="1">
      <c r="B658" s="31" t="n"/>
      <c r="C658" s="31" t="n"/>
      <c r="D658" s="32" t="n"/>
      <c r="E658" s="31" t="n"/>
      <c r="F65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58" s="32" t="n"/>
      <c r="H658" s="33">
        <f>IF(Expenses[[#This Row],[Monthly Amount]]&lt;&gt;"",Expenses[[#This Row],[Monthly Amount]]/Income,"")</f>
        <v/>
      </c>
    </row>
    <row r="659" ht="24" customHeight="1">
      <c r="B659" s="31" t="n"/>
      <c r="C659" s="31" t="n"/>
      <c r="D659" s="32" t="n"/>
      <c r="E659" s="31" t="n"/>
      <c r="F65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59" s="32" t="n"/>
      <c r="H659" s="33">
        <f>IF(Expenses[[#This Row],[Monthly Amount]]&lt;&gt;"",Expenses[[#This Row],[Monthly Amount]]/Income,"")</f>
        <v/>
      </c>
    </row>
    <row r="660" ht="24" customHeight="1">
      <c r="B660" s="31" t="n"/>
      <c r="C660" s="31" t="n"/>
      <c r="D660" s="32" t="n"/>
      <c r="E660" s="31" t="n"/>
      <c r="F66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60" s="32" t="n"/>
      <c r="H660" s="33">
        <f>IF(Expenses[[#This Row],[Monthly Amount]]&lt;&gt;"",Expenses[[#This Row],[Monthly Amount]]/Income,"")</f>
        <v/>
      </c>
    </row>
    <row r="661" ht="24" customHeight="1">
      <c r="B661" s="31" t="n"/>
      <c r="C661" s="31" t="n"/>
      <c r="D661" s="32" t="n"/>
      <c r="E661" s="31" t="n"/>
      <c r="F66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61" s="32" t="n"/>
      <c r="H661" s="33">
        <f>IF(Expenses[[#This Row],[Monthly Amount]]&lt;&gt;"",Expenses[[#This Row],[Monthly Amount]]/Income,"")</f>
        <v/>
      </c>
    </row>
    <row r="662" ht="24" customHeight="1">
      <c r="B662" s="31" t="n"/>
      <c r="C662" s="31" t="n"/>
      <c r="D662" s="32" t="n"/>
      <c r="E662" s="31" t="n"/>
      <c r="F66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62" s="32" t="n"/>
      <c r="H662" s="33">
        <f>IF(Expenses[[#This Row],[Monthly Amount]]&lt;&gt;"",Expenses[[#This Row],[Monthly Amount]]/Income,"")</f>
        <v/>
      </c>
    </row>
    <row r="663" ht="24" customHeight="1">
      <c r="B663" s="31" t="n"/>
      <c r="C663" s="31" t="n"/>
      <c r="D663" s="32" t="n"/>
      <c r="E663" s="31" t="n"/>
      <c r="F66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63" s="32" t="n"/>
      <c r="H663" s="33">
        <f>IF(Expenses[[#This Row],[Monthly Amount]]&lt;&gt;"",Expenses[[#This Row],[Monthly Amount]]/Income,"")</f>
        <v/>
      </c>
    </row>
    <row r="664" ht="24" customHeight="1">
      <c r="B664" s="31" t="n"/>
      <c r="C664" s="31" t="n"/>
      <c r="D664" s="32" t="n"/>
      <c r="E664" s="31" t="n"/>
      <c r="F66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64" s="32" t="n"/>
      <c r="H664" s="33">
        <f>IF(Expenses[[#This Row],[Monthly Amount]]&lt;&gt;"",Expenses[[#This Row],[Monthly Amount]]/Income,"")</f>
        <v/>
      </c>
    </row>
    <row r="665" ht="24" customHeight="1">
      <c r="B665" s="31" t="n"/>
      <c r="C665" s="31" t="n"/>
      <c r="D665" s="32" t="n"/>
      <c r="E665" s="31" t="n"/>
      <c r="F66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65" s="32" t="n"/>
      <c r="H665" s="33">
        <f>IF(Expenses[[#This Row],[Monthly Amount]]&lt;&gt;"",Expenses[[#This Row],[Monthly Amount]]/Income,"")</f>
        <v/>
      </c>
    </row>
    <row r="666" ht="24" customHeight="1">
      <c r="B666" s="31" t="n"/>
      <c r="C666" s="31" t="n"/>
      <c r="D666" s="32" t="n"/>
      <c r="E666" s="31" t="n"/>
      <c r="F66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66" s="32" t="n"/>
      <c r="H666" s="33">
        <f>IF(Expenses[[#This Row],[Monthly Amount]]&lt;&gt;"",Expenses[[#This Row],[Monthly Amount]]/Income,"")</f>
        <v/>
      </c>
    </row>
    <row r="667" ht="24" customHeight="1">
      <c r="B667" s="31" t="n"/>
      <c r="C667" s="31" t="n"/>
      <c r="D667" s="32" t="n"/>
      <c r="E667" s="31" t="n"/>
      <c r="F66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67" s="32" t="n"/>
      <c r="H667" s="33">
        <f>IF(Expenses[[#This Row],[Monthly Amount]]&lt;&gt;"",Expenses[[#This Row],[Monthly Amount]]/Income,"")</f>
        <v/>
      </c>
    </row>
    <row r="668" ht="24" customHeight="1">
      <c r="B668" s="31" t="n"/>
      <c r="C668" s="31" t="n"/>
      <c r="D668" s="32" t="n"/>
      <c r="E668" s="31" t="n"/>
      <c r="F66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68" s="32" t="n"/>
      <c r="H668" s="33">
        <f>IF(Expenses[[#This Row],[Monthly Amount]]&lt;&gt;"",Expenses[[#This Row],[Monthly Amount]]/Income,"")</f>
        <v/>
      </c>
    </row>
    <row r="669" ht="24" customHeight="1">
      <c r="B669" s="31" t="n"/>
      <c r="C669" s="31" t="n"/>
      <c r="D669" s="32" t="n"/>
      <c r="E669" s="31" t="n"/>
      <c r="F66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69" s="32" t="n"/>
      <c r="H669" s="33">
        <f>IF(Expenses[[#This Row],[Monthly Amount]]&lt;&gt;"",Expenses[[#This Row],[Monthly Amount]]/Income,"")</f>
        <v/>
      </c>
    </row>
    <row r="670" ht="24" customHeight="1">
      <c r="B670" s="31" t="n"/>
      <c r="C670" s="31" t="n"/>
      <c r="D670" s="32" t="n"/>
      <c r="E670" s="31" t="n"/>
      <c r="F67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70" s="32" t="n"/>
      <c r="H670" s="33">
        <f>IF(Expenses[[#This Row],[Monthly Amount]]&lt;&gt;"",Expenses[[#This Row],[Monthly Amount]]/Income,"")</f>
        <v/>
      </c>
    </row>
    <row r="671" ht="24" customHeight="1">
      <c r="B671" s="31" t="n"/>
      <c r="C671" s="31" t="n"/>
      <c r="D671" s="32" t="n"/>
      <c r="E671" s="31" t="n"/>
      <c r="F67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71" s="32" t="n"/>
      <c r="H671" s="33">
        <f>IF(Expenses[[#This Row],[Monthly Amount]]&lt;&gt;"",Expenses[[#This Row],[Monthly Amount]]/Income,"")</f>
        <v/>
      </c>
    </row>
    <row r="672" ht="24" customHeight="1">
      <c r="B672" s="31" t="n"/>
      <c r="C672" s="31" t="n"/>
      <c r="D672" s="32" t="n"/>
      <c r="E672" s="31" t="n"/>
      <c r="F67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72" s="32" t="n"/>
      <c r="H672" s="33">
        <f>IF(Expenses[[#This Row],[Monthly Amount]]&lt;&gt;"",Expenses[[#This Row],[Monthly Amount]]/Income,"")</f>
        <v/>
      </c>
    </row>
    <row r="673" ht="24" customHeight="1">
      <c r="B673" s="31" t="n"/>
      <c r="C673" s="31" t="n"/>
      <c r="D673" s="32" t="n"/>
      <c r="E673" s="31" t="n"/>
      <c r="F67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73" s="32" t="n"/>
      <c r="H673" s="33">
        <f>IF(Expenses[[#This Row],[Monthly Amount]]&lt;&gt;"",Expenses[[#This Row],[Monthly Amount]]/Income,"")</f>
        <v/>
      </c>
    </row>
    <row r="674" ht="24" customHeight="1">
      <c r="B674" s="31" t="n"/>
      <c r="C674" s="31" t="n"/>
      <c r="D674" s="32" t="n"/>
      <c r="E674" s="31" t="n"/>
      <c r="F67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74" s="32" t="n"/>
      <c r="H674" s="33">
        <f>IF(Expenses[[#This Row],[Monthly Amount]]&lt;&gt;"",Expenses[[#This Row],[Monthly Amount]]/Income,"")</f>
        <v/>
      </c>
    </row>
    <row r="675" ht="24" customHeight="1">
      <c r="B675" s="31" t="n"/>
      <c r="C675" s="31" t="n"/>
      <c r="D675" s="32" t="n"/>
      <c r="E675" s="31" t="n"/>
      <c r="F67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75" s="32" t="n"/>
      <c r="H675" s="33">
        <f>IF(Expenses[[#This Row],[Monthly Amount]]&lt;&gt;"",Expenses[[#This Row],[Monthly Amount]]/Income,"")</f>
        <v/>
      </c>
    </row>
    <row r="676" ht="24" customHeight="1">
      <c r="B676" s="31" t="n"/>
      <c r="C676" s="31" t="n"/>
      <c r="D676" s="32" t="n"/>
      <c r="E676" s="31" t="n"/>
      <c r="F67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76" s="32" t="n"/>
      <c r="H676" s="33">
        <f>IF(Expenses[[#This Row],[Monthly Amount]]&lt;&gt;"",Expenses[[#This Row],[Monthly Amount]]/Income,"")</f>
        <v/>
      </c>
    </row>
    <row r="677" ht="24" customHeight="1">
      <c r="B677" s="31" t="n"/>
      <c r="C677" s="31" t="n"/>
      <c r="D677" s="32" t="n"/>
      <c r="E677" s="31" t="n"/>
      <c r="F67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77" s="32" t="n"/>
      <c r="H677" s="33">
        <f>IF(Expenses[[#This Row],[Monthly Amount]]&lt;&gt;"",Expenses[[#This Row],[Monthly Amount]]/Income,"")</f>
        <v/>
      </c>
    </row>
    <row r="678" ht="24" customHeight="1">
      <c r="B678" s="31" t="n"/>
      <c r="C678" s="31" t="n"/>
      <c r="D678" s="32" t="n"/>
      <c r="E678" s="31" t="n"/>
      <c r="F67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78" s="32" t="n"/>
      <c r="H678" s="33">
        <f>IF(Expenses[[#This Row],[Monthly Amount]]&lt;&gt;"",Expenses[[#This Row],[Monthly Amount]]/Income,"")</f>
        <v/>
      </c>
    </row>
    <row r="679" ht="24" customHeight="1">
      <c r="B679" s="31" t="n"/>
      <c r="C679" s="31" t="n"/>
      <c r="D679" s="32" t="n"/>
      <c r="E679" s="31" t="n"/>
      <c r="F67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79" s="32" t="n"/>
      <c r="H679" s="33">
        <f>IF(Expenses[[#This Row],[Monthly Amount]]&lt;&gt;"",Expenses[[#This Row],[Monthly Amount]]/Income,"")</f>
        <v/>
      </c>
    </row>
    <row r="680" ht="24" customHeight="1">
      <c r="B680" s="31" t="n"/>
      <c r="C680" s="31" t="n"/>
      <c r="D680" s="32" t="n"/>
      <c r="E680" s="31" t="n"/>
      <c r="F68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80" s="32" t="n"/>
      <c r="H680" s="33">
        <f>IF(Expenses[[#This Row],[Monthly Amount]]&lt;&gt;"",Expenses[[#This Row],[Monthly Amount]]/Income,"")</f>
        <v/>
      </c>
    </row>
    <row r="681" ht="24" customHeight="1">
      <c r="B681" s="31" t="n"/>
      <c r="C681" s="31" t="n"/>
      <c r="D681" s="32" t="n"/>
      <c r="E681" s="31" t="n"/>
      <c r="F68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81" s="32" t="n"/>
      <c r="H681" s="33">
        <f>IF(Expenses[[#This Row],[Monthly Amount]]&lt;&gt;"",Expenses[[#This Row],[Monthly Amount]]/Income,"")</f>
        <v/>
      </c>
    </row>
    <row r="682" ht="24" customHeight="1">
      <c r="B682" s="31" t="n"/>
      <c r="C682" s="31" t="n"/>
      <c r="D682" s="32" t="n"/>
      <c r="E682" s="31" t="n"/>
      <c r="F68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82" s="32" t="n"/>
      <c r="H682" s="33">
        <f>IF(Expenses[[#This Row],[Monthly Amount]]&lt;&gt;"",Expenses[[#This Row],[Monthly Amount]]/Income,"")</f>
        <v/>
      </c>
    </row>
    <row r="683" ht="24" customHeight="1">
      <c r="B683" s="31" t="n"/>
      <c r="C683" s="31" t="n"/>
      <c r="D683" s="32" t="n"/>
      <c r="E683" s="31" t="n"/>
      <c r="F68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83" s="32" t="n"/>
      <c r="H683" s="33">
        <f>IF(Expenses[[#This Row],[Monthly Amount]]&lt;&gt;"",Expenses[[#This Row],[Monthly Amount]]/Income,"")</f>
        <v/>
      </c>
    </row>
    <row r="684" ht="24" customHeight="1">
      <c r="B684" s="31" t="n"/>
      <c r="C684" s="31" t="n"/>
      <c r="D684" s="32" t="n"/>
      <c r="E684" s="31" t="n"/>
      <c r="F684"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84" s="32" t="n"/>
      <c r="H684" s="33">
        <f>IF(Expenses[[#This Row],[Monthly Amount]]&lt;&gt;"",Expenses[[#This Row],[Monthly Amount]]/Income,"")</f>
        <v/>
      </c>
    </row>
    <row r="685" ht="24" customHeight="1">
      <c r="B685" s="31" t="n"/>
      <c r="C685" s="31" t="n"/>
      <c r="D685" s="32" t="n"/>
      <c r="E685" s="31" t="n"/>
      <c r="F685"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85" s="32" t="n"/>
      <c r="H685" s="33">
        <f>IF(Expenses[[#This Row],[Monthly Amount]]&lt;&gt;"",Expenses[[#This Row],[Monthly Amount]]/Income,"")</f>
        <v/>
      </c>
    </row>
    <row r="686" ht="24" customHeight="1">
      <c r="B686" s="31" t="n"/>
      <c r="C686" s="31" t="n"/>
      <c r="D686" s="32" t="n"/>
      <c r="E686" s="31" t="n"/>
      <c r="F686"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86" s="32" t="n"/>
      <c r="H686" s="33">
        <f>IF(Expenses[[#This Row],[Monthly Amount]]&lt;&gt;"",Expenses[[#This Row],[Monthly Amount]]/Income,"")</f>
        <v/>
      </c>
    </row>
    <row r="687" ht="24" customHeight="1">
      <c r="B687" s="31" t="n"/>
      <c r="C687" s="31" t="n"/>
      <c r="D687" s="32" t="n"/>
      <c r="E687" s="31" t="n"/>
      <c r="F687"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87" s="32" t="n"/>
      <c r="H687" s="33">
        <f>IF(Expenses[[#This Row],[Monthly Amount]]&lt;&gt;"",Expenses[[#This Row],[Monthly Amount]]/Income,"")</f>
        <v/>
      </c>
    </row>
    <row r="688" ht="24" customHeight="1">
      <c r="B688" s="31" t="n"/>
      <c r="C688" s="31" t="n"/>
      <c r="D688" s="32" t="n"/>
      <c r="E688" s="31" t="n"/>
      <c r="F688"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88" s="32" t="n"/>
      <c r="H688" s="33">
        <f>IF(Expenses[[#This Row],[Monthly Amount]]&lt;&gt;"",Expenses[[#This Row],[Monthly Amount]]/Income,"")</f>
        <v/>
      </c>
    </row>
    <row r="689" ht="24" customHeight="1">
      <c r="B689" s="31" t="n"/>
      <c r="C689" s="31" t="n"/>
      <c r="D689" s="32" t="n"/>
      <c r="E689" s="31" t="n"/>
      <c r="F689"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89" s="32" t="n"/>
      <c r="H689" s="33">
        <f>IF(Expenses[[#This Row],[Monthly Amount]]&lt;&gt;"",Expenses[[#This Row],[Monthly Amount]]/Income,"")</f>
        <v/>
      </c>
    </row>
    <row r="690" ht="24" customHeight="1">
      <c r="B690" s="31" t="n"/>
      <c r="C690" s="31" t="n"/>
      <c r="D690" s="32" t="n"/>
      <c r="E690" s="31" t="n"/>
      <c r="F690"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90" s="32" t="n"/>
      <c r="H690" s="33">
        <f>IF(Expenses[[#This Row],[Monthly Amount]]&lt;&gt;"",Expenses[[#This Row],[Monthly Amount]]/Income,"")</f>
        <v/>
      </c>
    </row>
    <row r="691" ht="24" customHeight="1">
      <c r="B691" s="31" t="n"/>
      <c r="C691" s="31" t="n"/>
      <c r="D691" s="32" t="n"/>
      <c r="E691" s="31" t="n"/>
      <c r="F691"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91" s="32" t="n"/>
      <c r="H691" s="33">
        <f>IF(Expenses[[#This Row],[Monthly Amount]]&lt;&gt;"",Expenses[[#This Row],[Monthly Amount]]/Income,"")</f>
        <v/>
      </c>
    </row>
    <row r="692" ht="24" customHeight="1">
      <c r="B692" s="31" t="n"/>
      <c r="C692" s="31" t="n"/>
      <c r="D692" s="32" t="n"/>
      <c r="E692" s="31" t="n"/>
      <c r="F692"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92" s="32" t="n"/>
      <c r="H692" s="33">
        <f>IF(Expenses[[#This Row],[Monthly Amount]]&lt;&gt;"",Expenses[[#This Row],[Monthly Amount]]/Income,"")</f>
        <v/>
      </c>
    </row>
    <row r="693" ht="24" customHeight="1">
      <c r="B693" s="31" t="n"/>
      <c r="C693" s="31" t="n"/>
      <c r="D693" s="32" t="n"/>
      <c r="E693" s="31" t="n"/>
      <c r="F693" s="32">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93" s="32" t="n"/>
      <c r="H693" s="33">
        <f>IF(Expenses[[#This Row],[Monthly Amount]]&lt;&gt;"",Expenses[[#This Row],[Monthly Amount]]/Income,"")</f>
        <v/>
      </c>
    </row>
  </sheetData>
  <mergeCells count="2">
    <mergeCell ref="B1:C1"/>
    <mergeCell ref="D1:G1"/>
  </mergeCells>
  <conditionalFormatting sqref="G3:G4">
    <cfRule type="expression" priority="2" dxfId="1">
      <formula>G3&lt;=0</formula>
    </cfRule>
    <cfRule type="expression" priority="3" dxfId="0">
      <formula>G3&gt;0</formula>
    </cfRule>
  </conditionalFormatting>
  <dataValidations count="5">
    <dataValidation sqref="A1" showDropDown="0" showInputMessage="1" showErrorMessage="1" allowBlank="1" prompt="Create a Budget Wheel in this worksheet. Title of the worksheet is in cell at right. Other helpful instructions on how to use this worksheet are in cells in this column. Arrow down to get started."/>
    <dataValidation sqref="A2" showDropDown="0" showInputMessage="1" showErrorMessage="1" allowBlank="1" prompt="Monthly Income label is in cell at right, doughnut chart showing expenses and savings in cell C2, and Savings Amount label in cell G2."/>
    <dataValidation sqref="C2" showDropDown="0" showInputMessage="1" showErrorMessage="1" allowBlank="1" prompt="Doughnut chart showing expenses and savings proportion is in this cell."/>
    <dataValidation sqref="A3" showDropDown="0" showInputMessage="1" showErrorMessage="1" allowBlank="1" prompt="Enter Monthly Income in cell at right. Saving Amount is auto calculated in cell G3. Next instruction is in cell A8."/>
    <dataValidation sqref="A8" showDropDown="0" showInputMessage="1" showErrorMessage="1" allowBlank="1" prompt="Enter details in Expenses table starting in cell at right."/>
  </dataValidations>
  <printOptions horizontalCentered="1"/>
  <pageMargins left="0.7" right="0.7" top="0.7" bottom="0.7" header="0.3" footer="0.3"/>
  <pageSetup orientation="portrait" scale="86" fitToHeight="0" horizontalDpi="4294967293"/>
  <headerFooter differentFirst="1">
    <oddHeader/>
    <oddFooter>&amp;L&amp;C&amp;R</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tabColor theme="6"/>
    <outlinePr summaryBelow="1" summaryRight="1"/>
    <pageSetUpPr/>
  </sheetPr>
  <dimension ref="A1:E10"/>
  <sheetViews>
    <sheetView showGridLines="0" workbookViewId="0">
      <selection activeCell="A1" sqref="A1"/>
    </sheetView>
  </sheetViews>
  <sheetFormatPr baseColWidth="8" defaultColWidth="8.84375" defaultRowHeight="17.5"/>
  <cols>
    <col width="17.84375" customWidth="1" min="1" max="1"/>
    <col width="21" customWidth="1" min="2" max="2"/>
    <col width="20.4609375" customWidth="1" min="3" max="3"/>
    <col width="20" customWidth="1" min="4" max="4"/>
    <col width="11.4609375" customWidth="1" min="5" max="5"/>
  </cols>
  <sheetData>
    <row r="1">
      <c r="A1" t="inlineStr">
        <is>
          <t>This sheet should remain hidden</t>
        </is>
      </c>
    </row>
    <row r="2" ht="44.25" customHeight="1">
      <c r="A2" s="1" t="inlineStr">
        <is>
          <t>Categories</t>
        </is>
      </c>
      <c r="B2" s="1" t="inlineStr">
        <is>
          <t>Amount per Category</t>
        </is>
      </c>
      <c r="C2" s="1" t="inlineStr">
        <is>
          <t>Percentage of Total</t>
        </is>
      </c>
      <c r="D2" s="1" t="inlineStr">
        <is>
          <t>Frequency</t>
        </is>
      </c>
      <c r="E2" s="1" t="inlineStr">
        <is>
          <t>Savings</t>
        </is>
      </c>
    </row>
    <row r="3">
      <c r="A3" t="inlineStr">
        <is>
          <t>Home</t>
        </is>
      </c>
      <c r="B3" s="2">
        <f>IF(SUMIF(Expenses[Category],"Home",Expenses[Monthly Amount])&gt;0,SUMIF(Expenses[Category],"Home",Expenses[Monthly Amount]),NA())</f>
        <v/>
      </c>
      <c r="C3" s="3">
        <f>IF(B3&gt;0,B3/Income,"")</f>
        <v/>
      </c>
      <c r="D3" s="4" t="inlineStr">
        <is>
          <t>Weekly</t>
        </is>
      </c>
      <c r="E3" s="2">
        <f>Income-SUM(Expenses[Monthly Amount])</f>
        <v/>
      </c>
    </row>
    <row r="4">
      <c r="A4" t="inlineStr">
        <is>
          <t>Entertainment</t>
        </is>
      </c>
      <c r="B4" s="2">
        <f>IF(SUMIF(Expenses[Category],"Entertainment",Expenses[Monthly Amount])&gt;0,SUMIF(Expenses[Category],"Entertainment",Expenses[Monthly Amount]),NA())</f>
        <v/>
      </c>
      <c r="C4" s="3">
        <f>IF(B4&gt;0,B4/Income,"")</f>
        <v/>
      </c>
      <c r="D4" s="4" t="inlineStr">
        <is>
          <t>Monthly</t>
        </is>
      </c>
    </row>
    <row r="5">
      <c r="A5" t="inlineStr">
        <is>
          <t>Transportation</t>
        </is>
      </c>
      <c r="B5" s="2">
        <f>IF(SUMIF(Expenses[Category],"Transportation",Expenses[Monthly Amount])&gt;0,SUMIF(Expenses[Category],"Transportation",Expenses[Monthly Amount]),NA())</f>
        <v/>
      </c>
      <c r="C5" s="3">
        <f>IF(B5&gt;0,B5/Income,"")</f>
        <v/>
      </c>
      <c r="D5" s="4" t="inlineStr">
        <is>
          <t>Quarterly</t>
        </is>
      </c>
    </row>
    <row r="6">
      <c r="A6" t="inlineStr">
        <is>
          <t>Food</t>
        </is>
      </c>
      <c r="B6" s="2">
        <f>IF(SUMIF(Expenses[Category],"Food",Expenses[Monthly Amount])&gt;0,SUMIF(Expenses[Category],"Food",Expenses[Monthly Amount]),NA())</f>
        <v/>
      </c>
      <c r="C6" s="3">
        <f>IF(B6&gt;0,B6/Income,"")</f>
        <v/>
      </c>
      <c r="D6" s="4" t="inlineStr">
        <is>
          <t>Every 6 months</t>
        </is>
      </c>
    </row>
    <row r="7">
      <c r="A7" t="inlineStr">
        <is>
          <t>Misc.</t>
        </is>
      </c>
      <c r="B7" s="2">
        <f>IF(SUMIF(Expenses[Category],"Misc.",Expenses[Monthly Amount])&gt;0,SUMIF(Expenses[Category],"Misc.",Expenses[Monthly Amount]),NA())</f>
        <v/>
      </c>
      <c r="C7" s="3">
        <f>IF(B7&gt;0,B7/Income,"")</f>
        <v/>
      </c>
      <c r="D7" s="4" t="inlineStr">
        <is>
          <t>Yearly</t>
        </is>
      </c>
    </row>
    <row r="8">
      <c r="A8" t="inlineStr">
        <is>
          <t>Savings</t>
        </is>
      </c>
      <c r="B8" s="2">
        <f>IF(E3&gt;0,E3,NA())</f>
        <v/>
      </c>
      <c r="C8" s="3">
        <f>IF(B8&gt;0,B8/Income,"")</f>
        <v/>
      </c>
      <c r="D8" s="4" t="inlineStr">
        <is>
          <t>Every other week</t>
        </is>
      </c>
    </row>
    <row r="9">
      <c r="C9" s="6" t="n"/>
      <c r="D9" s="4" t="inlineStr">
        <is>
          <t>Every other month</t>
        </is>
      </c>
    </row>
    <row r="10">
      <c r="B10" s="7" t="inlineStr">
        <is>
          <t>TOTAL:</t>
        </is>
      </c>
      <c r="C10" s="8">
        <f>SUM(C3:C8)</f>
        <v/>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2023-01-16T02:56:25Z</dcterms:created>
  <dcterms:modified xsi:type="dcterms:W3CDTF">2025-05-03T19:25:21Z</dcterms:modifi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0x01010079F111ED35F8CC479449609E8A0923A6</vt:lpwstr>
  </property>
</Properties>
</file>