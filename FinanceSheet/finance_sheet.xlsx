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filterPrivacy="1"/>
  <xr:revisionPtr revIDLastSave="0" documentId="13_ncr:1_{C53D72C2-A8B1-47C4-A124-824C893182C7}" xr6:coauthVersionLast="47" xr6:coauthVersionMax="47" xr10:uidLastSave="{00000000-0000-0000-0000-000000000000}"/>
  <bookViews>
    <workbookView xWindow="-110" yWindow="-110" windowWidth="19420" windowHeight="11500" xr2:uid="{00000000-000D-0000-FFFF-FFFF00000000}"/>
  </bookViews>
  <sheets>
    <sheet name="Budget wheel" sheetId="1" r:id="rId1"/>
    <sheet name="Data" sheetId="2" state="hidden" r:id="rId2"/>
  </sheets>
  <definedNames>
    <definedName name="AmountPerCategory">Data!$A$3:$B$8</definedName>
    <definedName name="Categories">Data!$A$3:$A$8</definedName>
    <definedName name="Income">'Budget wheel'!$B$3</definedName>
    <definedName name="_xlnm.Print_Titles" localSheetId="0">'Budget wheel'!$8:$8</definedName>
    <definedName name="Savings">Data!$E$3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26" i="1" l="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F9" i="1"/>
  <c r="H9" i="1" s="1"/>
  <c r="F10" i="1"/>
  <c r="H10" i="1" s="1"/>
  <c r="F11" i="1"/>
  <c r="H11" i="1" s="1"/>
  <c r="F12" i="1"/>
  <c r="F13" i="1"/>
  <c r="H13" i="1" s="1"/>
  <c r="F14" i="1"/>
  <c r="H14" i="1" s="1"/>
  <c r="F15" i="1"/>
  <c r="H15" i="1" s="1"/>
  <c r="F16" i="1"/>
  <c r="H16" i="1" s="1"/>
  <c r="F17" i="1"/>
  <c r="H17" i="1" s="1"/>
  <c r="F18" i="1"/>
  <c r="H18" i="1" s="1"/>
  <c r="F19" i="1"/>
  <c r="H19" i="1" s="1"/>
  <c r="F20" i="1"/>
  <c r="H20" i="1" s="1"/>
  <c r="F21" i="1"/>
  <c r="H21" i="1" s="1"/>
  <c r="F22" i="1"/>
  <c r="H22" i="1" s="1"/>
  <c r="F23" i="1"/>
  <c r="H23" i="1" s="1"/>
  <c r="F24" i="1"/>
  <c r="H24" i="1" s="1"/>
  <c r="F25" i="1"/>
  <c r="H25" i="1" s="1"/>
  <c r="B3" i="2" l="1"/>
  <c r="C3" i="2" s="1"/>
  <c r="H12" i="1"/>
  <c r="B7" i="2"/>
  <c r="C7" i="2" s="1"/>
  <c r="B4" i="2"/>
  <c r="C4" i="2" s="1"/>
  <c r="B6" i="2"/>
  <c r="C6" i="2" s="1"/>
  <c r="B5" i="2"/>
  <c r="C5" i="2" s="1"/>
  <c r="E3" i="2"/>
  <c r="G3" i="1" s="1"/>
  <c r="B8" i="2" l="1"/>
  <c r="C8" i="2" s="1"/>
  <c r="C10" i="2" s="1"/>
</calcChain>
</file>

<file path=xl/sharedStrings.xml><?xml version="1.0" encoding="utf-8"?>
<sst xmlns="http://schemas.openxmlformats.org/spreadsheetml/2006/main" count="33" uniqueCount="29">
  <si>
    <t>Expenses</t>
  </si>
  <si>
    <t>Category</t>
  </si>
  <si>
    <t>Amount</t>
  </si>
  <si>
    <t>Frequency</t>
  </si>
  <si>
    <t>Monthly Amount</t>
  </si>
  <si>
    <t>% of Total</t>
  </si>
  <si>
    <t>Categories</t>
  </si>
  <si>
    <t>Amount per Category</t>
  </si>
  <si>
    <t>Percentage of Total</t>
  </si>
  <si>
    <t>Savings</t>
  </si>
  <si>
    <t>Home</t>
  </si>
  <si>
    <t>Weekly</t>
  </si>
  <si>
    <t>Entertainment</t>
  </si>
  <si>
    <t>Monthly</t>
  </si>
  <si>
    <t>Transportation</t>
  </si>
  <si>
    <t>Quarterly</t>
  </si>
  <si>
    <t>Food</t>
  </si>
  <si>
    <t>Every 6 months</t>
  </si>
  <si>
    <t>Misc.</t>
  </si>
  <si>
    <t>Yearly</t>
  </si>
  <si>
    <t>Every other week</t>
  </si>
  <si>
    <t>Every other month</t>
  </si>
  <si>
    <t>Value calculated 
automatically</t>
  </si>
  <si>
    <t>TOTAL:</t>
  </si>
  <si>
    <t>This sheet should remain hidden</t>
  </si>
  <si>
    <t>Monthly 
income</t>
  </si>
  <si>
    <t>Savings 
amount</t>
  </si>
  <si>
    <t>BUDGET WHEEL</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</si>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</sst>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
  </numFmts>
  <fonts count="16" x14ac:knownFonts="1">
    <font>
      <sz val="12"/>
      <color rgb="FF404040"/>
      <name val="Segoe UI"/>
      <family val="2"/>
      <scheme val="minor"/>
    </font>
    <font>
      <b/>
      <sz val="11"/>
      <color theme="3"/>
      <name val="Segoe UI"/>
      <family val="2"/>
      <scheme val="minor"/>
    </font>
    <font>
      <sz val="9"/>
      <color rgb="FF404040"/>
      <name val="Segoe UI"/>
      <family val="2"/>
      <scheme val="minor"/>
    </font>
    <font>
      <sz val="13"/>
      <color theme="6"/>
      <name val="Segoe UI"/>
      <family val="2"/>
      <scheme val="minor"/>
    </font>
    <font>
      <sz val="30"/>
      <color theme="3"/>
      <name val="Century Gothic"/>
      <family val="2"/>
      <scheme val="major"/>
    </font>
    <font>
      <sz val="10"/>
      <color theme="3"/>
      <name val="Segoe UI"/>
      <family val="2"/>
      <scheme val="minor"/>
    </font>
    <font>
      <sz val="18"/>
      <color rgb="FF404040"/>
      <name val="Segoe UI"/>
      <family val="2"/>
      <scheme val="minor"/>
    </font>
    <font>
      <sz val="14"/>
      <color theme="6"/>
      <name val="Century Gothic"/>
      <family val="2"/>
      <scheme val="major"/>
    </font>
    <font>
      <sz val="12"/>
      <color theme="0"/>
      <name val="Segoe UI"/>
      <family val="2"/>
      <scheme val="minor"/>
    </font>
    <font>
      <sz val="11"/>
      <color theme="0"/>
      <name val="Calibri"/>
      <family val="2"/>
    </font>
    <font>
      <sz val="12"/>
      <name val="Segoe UI"/>
      <family val="2"/>
      <scheme val="minor"/>
    </font>
    <font>
      <b/>
      <sz val="14"/>
      <color theme="6"/>
      <name val="Century Gothic"/>
      <family val="2"/>
      <scheme val="major"/>
    </font>
    <font>
      <sz val="18"/>
      <color theme="9" tint="-0.499984740745262"/>
      <name val="Segoe UI"/>
      <family val="2"/>
      <scheme val="minor"/>
    </font>
    <font>
      <sz val="12"/>
      <color theme="9" tint="-0.499984740745262"/>
      <name val="Segoe UI"/>
      <family val="2"/>
      <scheme val="minor"/>
    </font>
    <font>
      <sz val="10"/>
      <color theme="1" tint="0.14999847407452621"/>
      <name val="Segoe UI"/>
      <family val="2"/>
      <scheme val="minor"/>
    </font>
    <font>
      <b/>
      <sz val="30"/>
      <color theme="4" tint="-0.249977111117893"/>
      <name val="Century Gothic"/>
      <family val="2"/>
      <scheme val="major"/>
    </font>
  </fonts>
  <fills count="2">
    <fill>
      <patternFill patternType="none"/>
    </fill>
    <fill>
      <patternFill patternType="gray125"/>
    </fill>
  </fills>
  <borders count="4">
    <border>
      <left/>
      <right/>
      <top/>
      <bottom/>
      <diagonal/>
    </border>
    <border>
      <left style="thin">
        <color auto="1"/>
      </left>
      <right style="thin">
        <color auto="1"/>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5">
    <xf numFmtId="0" fontId="0" fillId="0" borderId="0"/>
    <xf numFmtId="0" fontId="4" fillId="0" borderId="0" applyNumberFormat="0" applyFill="0" applyBorder="0" applyProtection="0">
      <alignment horizontal="right" vertical="center" indent="2"/>
    </xf>
    <xf numFmtId="0" fontId="7" fillId="0" borderId="0" applyNumberFormat="0" applyFill="0" applyProtection="0">
      <alignment horizontal="center"/>
    </xf>
    <xf numFmtId="0" fontId="3" fillId="0" borderId="0" applyNumberFormat="0" applyFill="0" applyProtection="0">
      <alignment vertical="center"/>
    </xf>
    <xf numFmtId="0" fontId="5" fillId="0" borderId="0" applyNumberFormat="0" applyFill="0" applyBorder="0" applyAlignment="0" applyProtection="0"/>
  </cellStyleXfs>
  <cellXfs count="34">
    <xf numFmtId="0" fontId="0" fillId="0" borderId="0" xfId="0"/>
    <xf numFmtId="0" fontId="1" fillId="0" borderId="0" xfId="0" applyFont="1"/>
    <xf numFmtId="164" fontId="0" fillId="0" borderId="0" xfId="0" applyNumberFormat="1" applyAlignment="1">
      <alignment horizontal="left"/>
    </xf>
    <xf numFmtId="9" fontId="0" fillId="0" borderId="0" xfId="0" applyNumberFormat="1" applyAlignment="1">
      <alignment horizontal="left"/>
    </xf>
    <xf numFmtId="0" fontId="0" fillId="0" borderId="1" xfId="0" applyBorder="1"/>
    <xf numFmtId="164" fontId="6" fillId="0" borderId="0" xfId="0" applyNumberFormat="1" applyFont="1" applyAlignment="1">
      <alignment horizontal="center"/>
    </xf>
    <xf numFmtId="9" fontId="0" fillId="0" borderId="0" xfId="0" applyNumberFormat="1"/>
    <xf numFmtId="0" fontId="0" fillId="0" borderId="2" xfId="0" applyBorder="1"/>
    <xf numFmtId="9" fontId="0" fillId="0" borderId="3" xfId="0" applyNumberFormat="1" applyBorder="1" applyAlignment="1">
      <alignment horizontal="left"/>
    </xf>
    <xf numFmtId="0" fontId="8" fillId="0" borderId="0" xfId="0" applyFont="1" applyAlignment="1">
      <alignment wrapText="1"/>
    </xf>
    <xf numFmtId="0" fontId="9" fillId="0" borderId="0" xfId="0" applyFont="1" applyAlignment="1">
      <alignment vertical="center" wrapText="1"/>
    </xf>
    <xf numFmtId="0" fontId="8" fillId="0" borderId="0" xfId="0" applyFont="1" applyAlignment="1">
      <alignment horizontal="center"/>
    </xf>
    <xf numFmtId="0" fontId="10" fillId="0" borderId="0" xfId="0" applyFont="1" applyAlignment="1">
      <alignment wrapText="1"/>
    </xf>
    <xf numFmtId="164" fontId="6" fillId="0" borderId="0" xfId="0" applyNumberFormat="1" applyFont="1" applyAlignment="1">
      <alignment horizontal="left" indent="3"/>
    </xf>
    <xf numFmtId="0" fontId="2" fillId="0" borderId="0" xfId="0" applyFont="1" applyAlignment="1">
      <alignment horizontal="center" vertical="center" wrapText="1"/>
    </xf>
    <xf numFmtId="0" fontId="8" fillId="0" borderId="0" xfId="0" applyFont="1" applyAlignment="1">
      <alignment horizontal="left" indent="1"/>
    </xf>
    <xf numFmtId="0" fontId="11" fillId="0" borderId="0" xfId="2" applyFont="1" applyAlignment="1">
      <alignment horizontal="left" wrapText="1" indent="1"/>
    </xf>
    <xf numFmtId="0" fontId="11" fillId="0" borderId="0" xfId="2" applyFont="1" applyAlignment="1">
      <alignment horizontal="right" wrapText="1"/>
    </xf>
    <xf numFmtId="0" fontId="13" fillId="0" borderId="0" xfId="0" applyFont="1"/>
    <xf numFmtId="164" fontId="12" fillId="0" borderId="0" xfId="0" applyNumberFormat="1" applyFont="1" applyAlignment="1">
      <alignment horizontal="left" indent="1"/>
    </xf>
    <xf numFmtId="0" fontId="13" fillId="0" borderId="0" xfId="0" applyFont="1" applyAlignment="1">
      <alignment horizontal="left" indent="1"/>
    </xf>
    <xf numFmtId="0" fontId="13" fillId="0" borderId="0" xfId="0" applyFont="1" applyAlignment="1">
      <alignment horizontal="center"/>
    </xf>
    <xf numFmtId="164" fontId="12" fillId="0" borderId="0" xfId="0" applyNumberFormat="1" applyFont="1" applyAlignment="1">
      <alignment horizontal="right"/>
    </xf>
    <xf numFmtId="0" fontId="14" fillId="0" borderId="0" xfId="0" applyFont="1" applyAlignment="1">
      <alignment horizontal="right" vertical="center" wrapText="1"/>
    </xf>
    <xf numFmtId="0" fontId="14" fillId="0" borderId="0" xfId="0" applyFont="1" applyAlignment="1">
      <alignment horizontal="left" vertical="center" indent="1"/>
    </xf>
    <xf numFmtId="0" fontId="7" fillId="0" borderId="0" xfId="3" applyFont="1" applyFill="1" applyAlignment="1">
      <alignment horizontal="left" vertical="center" indent="1"/>
    </xf>
    <xf numFmtId="164" fontId="14" fillId="0" borderId="0" xfId="0" applyNumberFormat="1" applyFont="1" applyAlignment="1">
      <alignment horizontal="left" vertical="center" indent="1"/>
    </xf>
    <xf numFmtId="9" fontId="14" fillId="0" borderId="0" xfId="0" applyNumberFormat="1" applyFont="1" applyAlignment="1">
      <alignment horizontal="left" vertical="center" indent="1"/>
    </xf>
    <xf numFmtId="0" fontId="15" fillId="0" borderId="0" xfId="1" applyFont="1" applyBorder="1" applyAlignment="1">
      <alignment horizontal="left" indent="1"/>
    </xf>
    <xf numFmtId="0" fontId="5" fillId="0" borderId="0" xfId="4" applyBorder="1" applyAlignment="1">
      <alignment horizontal="left" vertical="center" wrapText="1" indent="2"/>
    </xf>
    <xf numFmtId="0" fontId="5" fillId="0" borderId="0" xfId="4" applyAlignment="1">
      <alignment horizontal="left" vertical="center" wrapText="1" indent="2"/>
    </xf>
    <xf numFmtId="0" fontId="14" fillId="0" borderId="0" xfId="0" applyFont="1" applyFill="1" applyAlignment="1">
      <alignment horizontal="left" vertical="center" indent="1"/>
    </xf>
    <xf numFmtId="164" fontId="14" fillId="0" borderId="0" xfId="0" applyNumberFormat="1" applyFont="1" applyFill="1" applyAlignment="1">
      <alignment horizontal="left" vertical="center" indent="1"/>
    </xf>
    <xf numFmtId="9" fontId="14" fillId="0" borderId="0" xfId="0" applyNumberFormat="1" applyFont="1" applyFill="1" applyAlignment="1">
      <alignment horizontal="left" vertical="center" indent="1"/>
    </xf>
  </cellXfs>
  <cellStyles count="5">
    <cellStyle name="Explanatory Text" xfId="4" builtinId="53" customBuiltin="1"/>
    <cellStyle name="Heading 1" xfId="2" builtinId="16" customBuiltin="1"/>
    <cellStyle name="Heading 2" xfId="3" builtinId="17" customBuiltin="1"/>
    <cellStyle name="Normal" xfId="0" builtinId="0" customBuiltin="1"/>
    <cellStyle name="Title" xfId="1" builtinId="15" customBuiltin="1"/>
  </cellStyles>
  <dxfs count="14">
    <dxf>
      <font>
        <color theme="9" tint="-0.499984740745262"/>
      </font>
    </dxf>
    <dxf>
      <font>
        <color rgb="FFFF0000"/>
      </font>
    </dxf>
    <dxf>
      <font>
        <strike val="0"/>
        <outline val="0"/>
        <shadow val="0"/>
        <u val="none"/>
        <vertAlign val="baseline"/>
        <sz val="10"/>
        <color theme="1" tint="0.14999847407452621"/>
        <name val="Segoe UI"/>
        <family val="2"/>
        <scheme val="minor"/>
      </font>
      <numFmt numFmtId="13" formatCode="0%"/>
      <fill>
        <patternFill patternType="none">
          <fgColor indexed="64"/>
          <bgColor auto="1"/>
        </patternFill>
      </fill>
      <alignment horizontal="left" vertical="center" textRotation="0" wrapText="0" indent="1" justifyLastLine="0" shrinkToFit="0" readingOrder="0"/>
    </dxf>
    <dxf>
      <font>
        <b val="0"/>
        <i val="0"/>
        <strike val="0"/>
        <condense val="0"/>
        <extend val="0"/>
        <outline val="0"/>
        <shadow val="0"/>
        <u val="none"/>
        <vertAlign val="baseline"/>
        <sz val="10"/>
        <color theme="1" tint="0.14999847407452621"/>
        <name val="Segoe UI"/>
        <family val="2"/>
        <scheme val="minor"/>
      </font>
      <numFmt numFmtId="164" formatCode="&quot;$&quot;#,##0"/>
      <alignment horizontal="left" vertical="center" textRotation="0" wrapText="0" indent="1" justifyLastLine="0" shrinkToFit="0" readingOrder="0"/>
    </dxf>
    <dxf>
      <font>
        <strike val="0"/>
        <outline val="0"/>
        <shadow val="0"/>
        <u val="none"/>
        <vertAlign val="baseline"/>
        <sz val="10"/>
        <color theme="1" tint="0.14999847407452621"/>
        <name val="Segoe UI"/>
        <family val="2"/>
        <scheme val="minor"/>
      </font>
      <numFmt numFmtId="164" formatCode="&quot;$&quot;#,##0"/>
      <fill>
        <patternFill patternType="none">
          <fgColor indexed="64"/>
          <bgColor auto="1"/>
        </patternFill>
      </fill>
      <alignment horizontal="left" vertical="center" textRotation="0" wrapText="0" indent="1" justifyLastLine="0" shrinkToFit="0" readingOrder="0"/>
    </dxf>
    <dxf>
      <font>
        <strike val="0"/>
        <outline val="0"/>
        <shadow val="0"/>
        <u val="none"/>
        <vertAlign val="baseline"/>
        <sz val="10"/>
        <color theme="1" tint="0.14999847407452621"/>
        <name val="Segoe UI"/>
        <family val="2"/>
        <scheme val="minor"/>
      </font>
      <fill>
        <patternFill patternType="none">
          <fgColor indexed="64"/>
          <bgColor auto="1"/>
        </patternFill>
      </fill>
      <alignment horizontal="left" vertical="center" textRotation="0" wrapText="0" indent="1" justifyLastLine="0" shrinkToFit="0" readingOrder="0"/>
    </dxf>
    <dxf>
      <font>
        <strike val="0"/>
        <outline val="0"/>
        <shadow val="0"/>
        <u val="none"/>
        <vertAlign val="baseline"/>
        <sz val="10"/>
        <color theme="1" tint="0.14999847407452621"/>
        <name val="Segoe UI"/>
        <family val="2"/>
        <scheme val="minor"/>
      </font>
      <numFmt numFmtId="164" formatCode="&quot;$&quot;#,##0"/>
      <fill>
        <patternFill patternType="none">
          <fgColor indexed="64"/>
          <bgColor auto="1"/>
        </patternFill>
      </fill>
      <alignment horizontal="left" vertical="center" textRotation="0" wrapText="0" indent="1" justifyLastLine="0" shrinkToFit="0" readingOrder="0"/>
    </dxf>
    <dxf>
      <font>
        <strike val="0"/>
        <outline val="0"/>
        <shadow val="0"/>
        <u val="none"/>
        <vertAlign val="baseline"/>
        <sz val="10"/>
        <color theme="1" tint="0.14999847407452621"/>
        <name val="Segoe UI"/>
        <family val="2"/>
        <scheme val="minor"/>
      </font>
      <fill>
        <patternFill patternType="none">
          <fgColor indexed="64"/>
          <bgColor auto="1"/>
        </patternFill>
      </fill>
      <alignment horizontal="left" vertical="center" textRotation="0" wrapText="0" indent="1" justifyLastLine="0" shrinkToFit="0" readingOrder="0"/>
    </dxf>
    <dxf>
      <font>
        <strike val="0"/>
        <outline val="0"/>
        <shadow val="0"/>
        <u val="none"/>
        <vertAlign val="baseline"/>
        <sz val="10"/>
        <color theme="1" tint="0.14999847407452621"/>
        <name val="Segoe UI"/>
        <family val="2"/>
        <scheme val="minor"/>
      </font>
      <fill>
        <patternFill patternType="none">
          <fgColor indexed="64"/>
          <bgColor auto="1"/>
        </patternFill>
      </fill>
      <alignment horizontal="left" vertical="center" textRotation="0" wrapText="0" indent="1" justifyLastLine="0" shrinkToFit="0" readingOrder="0"/>
    </dxf>
    <dxf>
      <font>
        <strike val="0"/>
        <outline val="0"/>
        <shadow val="0"/>
        <u val="none"/>
        <vertAlign val="baseline"/>
        <sz val="10"/>
        <color theme="1" tint="0.14999847407452621"/>
        <name val="Segoe UI"/>
        <family val="2"/>
        <scheme val="minor"/>
      </font>
      <fill>
        <patternFill patternType="none">
          <fgColor indexed="64"/>
          <bgColor auto="1"/>
        </patternFill>
      </fill>
      <alignment horizontal="left" vertical="center" textRotation="0" wrapText="0" indent="0" justifyLastLine="0" shrinkToFit="0" readingOrder="0"/>
    </dxf>
    <dxf>
      <font>
        <b val="0"/>
        <strike val="0"/>
        <outline val="0"/>
        <shadow val="0"/>
        <u val="none"/>
        <vertAlign val="baseline"/>
        <sz val="14"/>
        <color theme="6"/>
        <name val="Century Gothic"/>
        <family val="2"/>
        <scheme val="major"/>
      </font>
      <fill>
        <patternFill patternType="none">
          <fgColor indexed="64"/>
          <bgColor auto="1"/>
        </patternFill>
      </fill>
      <alignment horizontal="left" vertical="center" textRotation="0" wrapText="0" indent="1" justifyLastLine="0" shrinkToFit="0" readingOrder="0"/>
    </dxf>
    <dxf>
      <fill>
        <patternFill patternType="solid">
          <fgColor theme="0" tint="-4.9989318521683403E-2"/>
          <bgColor theme="0" tint="-4.9989318521683403E-2"/>
        </patternFill>
      </fill>
    </dxf>
    <dxf>
      <font>
        <b/>
        <color theme="1"/>
      </font>
      <border>
        <top style="thin">
          <color theme="1"/>
        </top>
      </border>
    </dxf>
    <dxf>
      <font>
        <b/>
        <i val="0"/>
        <color theme="6"/>
      </font>
      <border>
        <left/>
        <right/>
        <top style="thin">
          <color theme="2" tint="-9.9948118533890809E-2"/>
        </top>
        <bottom/>
        <vertical/>
        <horizontal/>
      </border>
    </dxf>
  </dxfs>
  <tableStyles count="1" defaultTableStyle="TableStyleMedium2" defaultPivotStyle="PivotStyleLight16">
    <tableStyle name="Budget Wheel" pivot="0" count="3" xr9:uid="{00000000-0011-0000-FFFF-FFFF00000000}">
      <tableStyleElement type="headerRow" dxfId="13"/>
      <tableStyleElement type="totalRow" dxfId="12"/>
      <tableStyleElement type="firstRowStripe" dxfId="11"/>
    </tableStyle>
  </tableStyles>
  <colors>
    <mruColors>
      <color rgb="FFA28EDA"/>
      <color rgb="FF2D3E50"/>
      <color rgb="FF4040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400" b="0" i="0" u="none" strike="noStrike" kern="1200" spc="0" baseline="0">
                <a:solidFill>
                  <a:schemeClr val="accent1">
                    <a:lumMod val="75000"/>
                  </a:schemeClr>
                </a:solidFill>
                <a:latin typeface="+mn-lt"/>
                <a:ea typeface="+mn-ea"/>
                <a:cs typeface="+mn-cs"/>
              </a:defRPr>
            </a:pPr>
            <a:r>
              <a:rPr lang="en-US" sz="1400" b="0" baseline="0">
                <a:solidFill>
                  <a:schemeClr val="accent1">
                    <a:lumMod val="75000"/>
                  </a:schemeClr>
                </a:solidFill>
                <a:latin typeface="+mj-lt"/>
              </a:rPr>
              <a:t>Monthly expenses</a:t>
            </a:r>
          </a:p>
        </c:rich>
      </c:tx>
      <c:layout>
        <c:manualLayout>
          <c:xMode val="edge"/>
          <c:yMode val="edge"/>
          <c:x val="2.3728314559875958E-2"/>
          <c:y val="1.05758387702346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75000"/>
                </a:schemeClr>
              </a:solidFill>
              <a:latin typeface="+mn-lt"/>
              <a:ea typeface="+mn-ea"/>
              <a:cs typeface="+mn-cs"/>
            </a:defRPr>
          </a:pPr>
          <a:endParaRPr lang="en-US"/>
        </a:p>
      </c:txPr>
    </c:title>
    <c:autoTitleDeleted val="0"/>
    <c:plotArea>
      <c:layout>
        <c:manualLayout>
          <c:layoutTarget val="inner"/>
          <c:xMode val="edge"/>
          <c:yMode val="edge"/>
          <c:x val="0.14945264605200678"/>
          <c:y val="2.8513916519880327E-2"/>
          <c:w val="0.69066944646103634"/>
          <c:h val="0.89617538605220359"/>
        </c:manualLayout>
      </c:layout>
      <c:doughnutChart>
        <c:varyColors val="1"/>
        <c:ser>
          <c:idx val="0"/>
          <c:order val="0"/>
          <c:spPr>
            <a:solidFill>
              <a:schemeClr val="tx2"/>
            </a:solidFill>
          </c:spPr>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E18A-44E3-B3A1-0D997F3DF8B9}"/>
              </c:ext>
            </c:extLst>
          </c:dPt>
          <c:dPt>
            <c:idx val="1"/>
            <c:bubble3D val="0"/>
            <c:spPr>
              <a:solidFill>
                <a:schemeClr val="accent3">
                  <a:lumMod val="75000"/>
                </a:schemeClr>
              </a:solidFill>
              <a:ln w="19050">
                <a:solidFill>
                  <a:schemeClr val="lt1"/>
                </a:solidFill>
              </a:ln>
              <a:effectLst/>
            </c:spPr>
            <c:extLst>
              <c:ext xmlns:c16="http://schemas.microsoft.com/office/drawing/2014/chart" uri="{C3380CC4-5D6E-409C-BE32-E72D297353CC}">
                <c16:uniqueId val="{00000003-E18A-44E3-B3A1-0D997F3DF8B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18A-44E3-B3A1-0D997F3DF8B9}"/>
              </c:ext>
            </c:extLst>
          </c:dPt>
          <c:dPt>
            <c:idx val="3"/>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7-E18A-44E3-B3A1-0D997F3DF8B9}"/>
              </c:ext>
            </c:extLst>
          </c:dPt>
          <c:dPt>
            <c:idx val="4"/>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9-E18A-44E3-B3A1-0D997F3DF8B9}"/>
              </c:ext>
            </c:extLst>
          </c:dPt>
          <c:dPt>
            <c:idx val="5"/>
            <c:bubble3D val="0"/>
            <c:spPr>
              <a:solidFill>
                <a:schemeClr val="accent3">
                  <a:lumMod val="20000"/>
                  <a:lumOff val="80000"/>
                </a:schemeClr>
              </a:solidFill>
              <a:ln w="19050">
                <a:solidFill>
                  <a:schemeClr val="lt1"/>
                </a:solidFill>
              </a:ln>
              <a:effectLst/>
            </c:spPr>
            <c:extLst>
              <c:ext xmlns:c16="http://schemas.microsoft.com/office/drawing/2014/chart" uri="{C3380CC4-5D6E-409C-BE32-E72D297353CC}">
                <c16:uniqueId val="{0000000B-E18A-44E3-B3A1-0D997F3DF8B9}"/>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18A-44E3-B3A1-0D997F3DF8B9}"/>
                </c:ext>
              </c:extLst>
            </c:dLbl>
            <c:dLbl>
              <c:idx val="1"/>
              <c:layout>
                <c:manualLayout>
                  <c:x val="5.5557940236555588E-2"/>
                  <c:y val="2.6326648980198816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E18A-44E3-B3A1-0D997F3DF8B9}"/>
                </c:ext>
              </c:extLst>
            </c:dLbl>
            <c:dLbl>
              <c:idx val="2"/>
              <c:layout>
                <c:manualLayout>
                  <c:x val="4.6051136894963422E-2"/>
                  <c:y val="5.6165404012958192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E18A-44E3-B3A1-0D997F3DF8B9}"/>
                </c:ext>
              </c:extLst>
            </c:dLbl>
            <c:dLbl>
              <c:idx val="3"/>
              <c:layout>
                <c:manualLayout>
                  <c:x val="1.4860378119788726E-2"/>
                  <c:y val="7.1989203180803943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E18A-44E3-B3A1-0D997F3DF8B9}"/>
                </c:ext>
              </c:extLst>
            </c:dLbl>
            <c:dLbl>
              <c:idx val="4"/>
              <c:layout>
                <c:manualLayout>
                  <c:x val="-1.1681530213005498E-2"/>
                  <c:y val="8.8160797112475375E-2"/>
                </c:manualLayout>
              </c:layout>
              <c:tx>
                <c:rich>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fld id="{83AE4C34-3B61-4EDC-ABB0-1D4AA9C8D4C5}" type="CATEGORYNAME">
                      <a:rPr lang="en-US">
                        <a:solidFill>
                          <a:schemeClr val="bg1"/>
                        </a:solidFill>
                      </a:rPr>
                      <a:pPr>
                        <a:defRPr sz="1000">
                          <a:solidFill>
                            <a:schemeClr val="bg1"/>
                          </a:solidFill>
                        </a:defRPr>
                      </a:pPr>
                      <a:t>[CATEGORY NAME]</a:t>
                    </a:fld>
                    <a:r>
                      <a:rPr lang="en-US" baseline="0">
                        <a:solidFill>
                          <a:schemeClr val="bg1"/>
                        </a:solidFill>
                      </a:rPr>
                      <a:t>
</a:t>
                    </a:r>
                    <a:fld id="{8C2916CC-9817-44C9-8CFC-E3E7FF11400E}" type="VALUE">
                      <a:rPr lang="en-US" baseline="0">
                        <a:solidFill>
                          <a:schemeClr val="bg1"/>
                        </a:solidFill>
                      </a:rPr>
                      <a:pPr>
                        <a:defRPr sz="1000">
                          <a:solidFill>
                            <a:schemeClr val="bg1"/>
                          </a:solidFill>
                        </a:defRPr>
                      </a:pPr>
                      <a:t>[VALUE]</a:t>
                    </a:fld>
                    <a:endParaRPr lang="en-US" baseline="0">
                      <a:solidFill>
                        <a:schemeClr val="bg1"/>
                      </a:solidFill>
                    </a:endParaRPr>
                  </a:p>
                </c:rich>
              </c:tx>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9-E18A-44E3-B3A1-0D997F3DF8B9}"/>
                </c:ext>
              </c:extLst>
            </c:dLbl>
            <c:dLbl>
              <c:idx val="5"/>
              <c:tx>
                <c:rich>
                  <a:bodyPr rot="0" spcFirstLastPara="1" vertOverflow="ellipsis"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mn-lt"/>
                        <a:ea typeface="+mn-ea"/>
                        <a:cs typeface="+mn-cs"/>
                      </a:defRPr>
                    </a:pPr>
                    <a:fld id="{6D7A03EA-852C-474F-8C5C-1C153E211143}" type="CATEGORYNAME">
                      <a:rPr lang="en-US">
                        <a:solidFill>
                          <a:schemeClr val="tx1">
                            <a:lumMod val="85000"/>
                            <a:lumOff val="15000"/>
                          </a:schemeClr>
                        </a:solidFill>
                      </a:rPr>
                      <a:pPr>
                        <a:defRPr sz="1000">
                          <a:solidFill>
                            <a:schemeClr val="tx1">
                              <a:lumMod val="85000"/>
                              <a:lumOff val="15000"/>
                            </a:schemeClr>
                          </a:solidFill>
                        </a:defRPr>
                      </a:pPr>
                      <a:t>[CATEGORY NAME]</a:t>
                    </a:fld>
                    <a:r>
                      <a:rPr lang="en-US" baseline="0">
                        <a:solidFill>
                          <a:schemeClr val="tx1">
                            <a:lumMod val="85000"/>
                            <a:lumOff val="15000"/>
                          </a:schemeClr>
                        </a:solidFill>
                      </a:rPr>
                      <a:t>
</a:t>
                    </a:r>
                    <a:fld id="{D8CBBF86-C65A-442C-93F1-484B28FE018E}" type="VALUE">
                      <a:rPr lang="en-US" baseline="0">
                        <a:solidFill>
                          <a:schemeClr val="tx1">
                            <a:lumMod val="85000"/>
                            <a:lumOff val="15000"/>
                          </a:schemeClr>
                        </a:solidFill>
                      </a:rPr>
                      <a:pPr>
                        <a:defRPr sz="1000">
                          <a:solidFill>
                            <a:schemeClr val="tx1">
                              <a:lumMod val="85000"/>
                              <a:lumOff val="15000"/>
                            </a:schemeClr>
                          </a:solidFill>
                        </a:defRPr>
                      </a:pPr>
                      <a:t>[VALUE]</a:t>
                    </a:fld>
                    <a:endParaRPr lang="en-US" baseline="0">
                      <a:solidFill>
                        <a:schemeClr val="tx1">
                          <a:lumMod val="85000"/>
                          <a:lumOff val="15000"/>
                        </a:schemeClr>
                      </a:solidFill>
                    </a:endParaRPr>
                  </a:p>
                </c:rich>
              </c:tx>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85000"/>
                          <a:lumOff val="1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dlblFieldTable/>
                  <c15:showDataLabelsRange val="0"/>
                </c:ext>
                <c:ext xmlns:c16="http://schemas.microsoft.com/office/drawing/2014/chart" uri="{C3380CC4-5D6E-409C-BE32-E72D297353CC}">
                  <c16:uniqueId val="{0000000B-E18A-44E3-B3A1-0D997F3DF8B9}"/>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Data!$A$3:$A$8</c:f>
              <c:strCache>
                <c:ptCount val="6"/>
                <c:pt idx="0">
                  <c:v>Home</c:v>
                </c:pt>
                <c:pt idx="1">
                  <c:v>Entertainment</c:v>
                </c:pt>
                <c:pt idx="2">
                  <c:v>Transportation</c:v>
                </c:pt>
                <c:pt idx="3">
                  <c:v>Food</c:v>
                </c:pt>
                <c:pt idx="4">
                  <c:v>Misc.</c:v>
                </c:pt>
                <c:pt idx="5">
                  <c:v>Savings</c:v>
                </c:pt>
              </c:strCache>
            </c:strRef>
          </c:cat>
          <c:val>
            <c:numRef>
              <c:f>Data!$B$3:$B$8</c:f>
              <c:numCache>
                <c:formatCode>"$"#,##0</c:formatCode>
                <c:ptCount val="6"/>
                <c:pt idx="0">
                  <c:v>#N/A</c:v>
                </c:pt>
                <c:pt idx="1">
                  <c:v>#N/A</c:v>
                </c:pt>
                <c:pt idx="2">
                  <c:v>10</c:v>
                </c:pt>
                <c:pt idx="3">
                  <c:v>#N/A</c:v>
                </c:pt>
                <c:pt idx="4">
                  <c:v>#N/A</c:v>
                </c:pt>
                <c:pt idx="5">
                  <c:v>5728</c:v>
                </c:pt>
              </c:numCache>
            </c:numRef>
          </c:val>
          <c:extLst>
            <c:ext xmlns:c16="http://schemas.microsoft.com/office/drawing/2014/chart" uri="{C3380CC4-5D6E-409C-BE32-E72D297353CC}">
              <c16:uniqueId val="{0000000C-E18A-44E3-B3A1-0D997F3DF8B9}"/>
            </c:ext>
          </c:extLst>
        </c:ser>
        <c:dLbls>
          <c:showLegendKey val="0"/>
          <c:showVal val="0"/>
          <c:showCatName val="0"/>
          <c:showSerName val="0"/>
          <c:showPercent val="0"/>
          <c:showBubbleSize val="0"/>
          <c:showLeaderLines val="1"/>
        </c:dLbls>
        <c:firstSliceAng val="0"/>
        <c:holeSize val="25"/>
      </c:doughnutChart>
      <c:spPr>
        <a:noFill/>
        <a:ln>
          <a:noFill/>
        </a:ln>
        <a:effectLst/>
      </c:spPr>
    </c:plotArea>
    <c:legend>
      <c:legendPos val="b"/>
      <c:layout>
        <c:manualLayout>
          <c:xMode val="edge"/>
          <c:yMode val="edge"/>
          <c:x val="7.7135020588673039E-2"/>
          <c:y val="0.91317836794773521"/>
          <c:w val="0.85862682894975206"/>
          <c:h val="5.5063500127000252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1606</xdr:rowOff>
    </xdr:from>
    <xdr:to>
      <xdr:col>7</xdr:col>
      <xdr:colOff>6351</xdr:colOff>
      <xdr:row>7</xdr:row>
      <xdr:rowOff>25400</xdr:rowOff>
    </xdr:to>
    <xdr:graphicFrame macro="">
      <xdr:nvGraphicFramePr>
        <xdr:cNvPr id="3" name="Chart 1" descr="Doughnut chart showing expenses and savings proportion">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penses" displayName="Expenses" ref="B8:H693" totalsRowShown="0" headerRowDxfId="10" dataDxfId="9" headerRowCellStyle="Heading 2">
  <autoFilter ref="B8:H693" xr:uid="{00000000-0009-0000-0100-000001000000}"/>
  <tableColumns count="7">
    <tableColumn id="1" xr3:uid="{00000000-0010-0000-0000-000001000000}" name="Expenses" dataDxfId="8"/>
    <tableColumn id="2" xr3:uid="{00000000-0010-0000-0000-000002000000}" name="Category" dataDxfId="7"/>
    <tableColumn id="3" xr3:uid="{00000000-0010-0000-0000-000003000000}" name="Amount" dataDxfId="6"/>
    <tableColumn id="4" xr3:uid="{00000000-0010-0000-0000-000004000000}" name="Frequency" dataDxfId="5"/>
    <tableColumn id="5" xr3:uid="{00000000-0010-0000-0000-000005000000}" name="Monthly Amount" dataDxfId="4">
      <calculatedColumnFormula>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calculatedColumnFormula>
    </tableColumn>
    <tableColumn id="8" xr3:uid="{ABB3BEC5-11AE-4F74-B27B-3C0DB0C2EB9B}" name="Date" dataDxfId="3"/>
    <tableColumn id="6" xr3:uid="{00000000-0010-0000-0000-000006000000}" name="% of Total" dataDxfId="2">
      <calculatedColumnFormula>IF(Expenses[[#This Row],[Monthly Amount]]&lt;&gt;"",Expenses[[#This Row],[Monthly Amount]]/Income,"")</calculatedColumnFormula>
    </tableColumn>
  </tableColumns>
  <tableStyleInfo name="Budget Wheel" showFirstColumn="1" showLastColumn="0" showRowStripes="1" showColumnStripes="0"/>
  <extLst>
    <ext xmlns:x14="http://schemas.microsoft.com/office/spreadsheetml/2009/9/main" uri="{504A1905-F514-4f6f-8877-14C23A59335A}">
      <x14:table altTextSummary="Enter Expenses items and Amount and select Category and Frequency in this table. Percent of Total is auto calculated"/>
    </ext>
  </extLst>
</table>
</file>

<file path=xl/theme/theme1.xml><?xml version="1.0" encoding="utf-8"?>
<a:theme xmlns:a="http://schemas.openxmlformats.org/drawingml/2006/main" name="Office Theme">
  <a:themeElements>
    <a:clrScheme name="Custom 27">
      <a:dk1>
        <a:sysClr val="windowText" lastClr="000000"/>
      </a:dk1>
      <a:lt1>
        <a:sysClr val="window" lastClr="FFFFFF"/>
      </a:lt1>
      <a:dk2>
        <a:srgbClr val="6C1076"/>
      </a:dk2>
      <a:lt2>
        <a:srgbClr val="E7E6E6"/>
      </a:lt2>
      <a:accent1>
        <a:srgbClr val="2C438C"/>
      </a:accent1>
      <a:accent2>
        <a:srgbClr val="F1B67B"/>
      </a:accent2>
      <a:accent3>
        <a:srgbClr val="4060CA"/>
      </a:accent3>
      <a:accent4>
        <a:srgbClr val="46C8F6"/>
      </a:accent4>
      <a:accent5>
        <a:srgbClr val="A593E9"/>
      </a:accent5>
      <a:accent6>
        <a:srgbClr val="66CC00"/>
      </a:accent6>
      <a:hlink>
        <a:srgbClr val="0563C1"/>
      </a:hlink>
      <a:folHlink>
        <a:srgbClr val="0563C1"/>
      </a:folHlink>
    </a:clrScheme>
    <a:fontScheme name="Custom 33">
      <a:majorFont>
        <a:latin typeface="Century Gothic"/>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A1:H693"/>
  <sheetViews>
    <sheetView showGridLines="0" tabSelected="1" topLeftCell="A667" zoomScale="55" zoomScaleNormal="55" workbookViewId="0">
      <selection activeCell="I25" sqref="I25"/>
    </sheetView>
  </sheetViews>
  <sheetFormatPr defaultColWidth="8.84375" defaultRowHeight="24" customHeight="1" x14ac:dyDescent="0.45"/>
  <cols>
    <col min="1" max="1" width="2.84375" style="9" customWidth="1"/>
    <col min="2" max="2" width="22.4609375" customWidth="1"/>
    <col min="3" max="3" width="17.4609375" customWidth="1"/>
    <col min="4" max="4" width="12.3828125" customWidth="1"/>
    <col min="5" max="5" width="18.61328125" customWidth="1"/>
    <col min="6" max="6" width="14.15234375" hidden="1" customWidth="1"/>
    <col min="7" max="7" width="14.4609375" customWidth="1"/>
    <col min="8" max="8" width="16.3046875" customWidth="1"/>
  </cols>
  <sheetData>
    <row r="1" spans="1:8" ht="66.5" customHeight="1" x14ac:dyDescent="0.7">
      <c r="B1" s="28" t="s">
        <v>27</v>
      </c>
      <c r="C1" s="28"/>
      <c r="D1" s="29"/>
      <c r="E1" s="30"/>
      <c r="F1" s="30"/>
      <c r="G1" s="30"/>
    </row>
    <row r="2" spans="1:8" ht="119.5" customHeight="1" x14ac:dyDescent="0.45">
      <c r="A2" s="10"/>
      <c r="B2" s="16" t="s">
        <v>25</v>
      </c>
      <c r="C2" s="15"/>
      <c r="D2" s="11"/>
      <c r="E2" s="11"/>
      <c r="G2" s="17" t="s">
        <v>26</v>
      </c>
    </row>
    <row r="3" spans="1:8" ht="26.25" customHeight="1" x14ac:dyDescent="0.65">
      <c r="B3" s="19">
        <v>5738</v>
      </c>
      <c r="C3" s="20"/>
      <c r="D3" s="21"/>
      <c r="E3" s="21"/>
      <c r="F3" s="18"/>
      <c r="G3" s="22">
        <f>Savings</f>
        <v>5728</v>
      </c>
    </row>
    <row r="4" spans="1:8" ht="6" customHeight="1" x14ac:dyDescent="0.65">
      <c r="B4" s="13"/>
      <c r="C4" s="11"/>
      <c r="D4" s="11"/>
      <c r="E4" s="11"/>
      <c r="G4" s="5"/>
    </row>
    <row r="5" spans="1:8" ht="27" customHeight="1" x14ac:dyDescent="0.45">
      <c r="C5" s="11"/>
      <c r="D5" s="11"/>
      <c r="E5" s="11"/>
      <c r="G5" s="23" t="s">
        <v>22</v>
      </c>
    </row>
    <row r="6" spans="1:8" ht="27" customHeight="1" x14ac:dyDescent="0.45">
      <c r="C6" s="11"/>
      <c r="D6" s="11"/>
      <c r="E6" s="11"/>
      <c r="G6" s="14"/>
    </row>
    <row r="7" spans="1:8" ht="248.5" customHeight="1" x14ac:dyDescent="0.45">
      <c r="C7" s="11"/>
      <c r="D7" s="11"/>
      <c r="E7" s="11"/>
    </row>
    <row r="8" spans="1:8" ht="40" customHeight="1" x14ac:dyDescent="0.45">
      <c r="A8" s="12"/>
      <c r="B8" s="25" t="s">
        <v>0</v>
      </c>
      <c r="C8" s="25" t="s">
        <v>1</v>
      </c>
      <c r="D8" s="25" t="s">
        <v>2</v>
      </c>
      <c r="E8" s="25" t="s">
        <v>3</v>
      </c>
      <c r="F8" s="25" t="s">
        <v>4</v>
      </c>
      <c r="G8" s="25" t="s">
        <v>28</v>
      </c>
      <c r="H8" s="25" t="s">
        <v>5</v>
      </c>
    </row>
    <row r="9" spans="1:8" ht="24" customHeight="1" x14ac:dyDescent="0.45">
      <c r="B9" s="24">
        <v>123</v>
      </c>
      <c r="C9" s="24" t="s">
        <v>14</v>
      </c>
      <c r="D9" s="26">
        <v>10</v>
      </c>
      <c r="E9" s="24" t="s">
        <v>13</v>
      </c>
      <c r="F9" s="26">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10</v>
      </c>
      <c r="G9" s="26"/>
      <c r="H9" s="27">
        <f>IF(Expenses[[#This Row],[Monthly Amount]]&lt;&gt;"",Expenses[[#This Row],[Monthly Amount]]/Income,"")</f>
        <v>1.7427675148135239E-3</v>
      </c>
    </row>
    <row r="10" spans="1:8" ht="24" customHeight="1" x14ac:dyDescent="0.45">
      <c r="B10" s="24"/>
      <c r="C10" s="24"/>
      <c r="D10" s="26"/>
      <c r="E10" s="24"/>
      <c r="F10"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 s="26"/>
      <c r="H10" s="27" t="str">
        <f>IF(Expenses[[#This Row],[Monthly Amount]]&lt;&gt;"",Expenses[[#This Row],[Monthly Amount]]/Income,"")</f>
        <v/>
      </c>
    </row>
    <row r="11" spans="1:8" ht="24" customHeight="1" x14ac:dyDescent="0.45">
      <c r="B11" s="24"/>
      <c r="C11" s="24"/>
      <c r="D11" s="26"/>
      <c r="E11" s="24"/>
      <c r="F11"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 s="26"/>
      <c r="H11" s="27" t="str">
        <f>IF(Expenses[[#This Row],[Monthly Amount]]&lt;&gt;"",Expenses[[#This Row],[Monthly Amount]]/Income,"")</f>
        <v/>
      </c>
    </row>
    <row r="12" spans="1:8" ht="24" customHeight="1" x14ac:dyDescent="0.45">
      <c r="B12" s="24"/>
      <c r="C12" s="24"/>
      <c r="D12" s="26"/>
      <c r="E12" s="24"/>
      <c r="F12"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 s="26"/>
      <c r="H12" s="27" t="str">
        <f>IF(Expenses[[#This Row],[Monthly Amount]]&lt;&gt;"",Expenses[[#This Row],[Monthly Amount]]/Income,"")</f>
        <v/>
      </c>
    </row>
    <row r="13" spans="1:8" ht="24" customHeight="1" x14ac:dyDescent="0.45">
      <c r="B13" s="24"/>
      <c r="C13" s="24"/>
      <c r="D13" s="26"/>
      <c r="E13" s="24"/>
      <c r="F13"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 s="26"/>
      <c r="H13" s="27" t="str">
        <f>IF(Expenses[[#This Row],[Monthly Amount]]&lt;&gt;"",Expenses[[#This Row],[Monthly Amount]]/Income,"")</f>
        <v/>
      </c>
    </row>
    <row r="14" spans="1:8" ht="24" customHeight="1" x14ac:dyDescent="0.45">
      <c r="B14" s="24"/>
      <c r="C14" s="24"/>
      <c r="D14" s="26"/>
      <c r="E14" s="24"/>
      <c r="F14"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 s="26"/>
      <c r="H14" s="27" t="str">
        <f>IF(Expenses[[#This Row],[Monthly Amount]]&lt;&gt;"",Expenses[[#This Row],[Monthly Amount]]/Income,"")</f>
        <v/>
      </c>
    </row>
    <row r="15" spans="1:8" ht="24" customHeight="1" x14ac:dyDescent="0.45">
      <c r="B15" s="24"/>
      <c r="C15" s="24"/>
      <c r="D15" s="26"/>
      <c r="E15" s="24"/>
      <c r="F15"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 s="26"/>
      <c r="H15" s="27" t="str">
        <f>IF(Expenses[[#This Row],[Monthly Amount]]&lt;&gt;"",Expenses[[#This Row],[Monthly Amount]]/Income,"")</f>
        <v/>
      </c>
    </row>
    <row r="16" spans="1:8" ht="24" customHeight="1" x14ac:dyDescent="0.45">
      <c r="B16" s="24"/>
      <c r="C16" s="24"/>
      <c r="D16" s="26"/>
      <c r="E16" s="24"/>
      <c r="F16"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 s="26"/>
      <c r="H16" s="27" t="str">
        <f>IF(Expenses[[#This Row],[Monthly Amount]]&lt;&gt;"",Expenses[[#This Row],[Monthly Amount]]/Income,"")</f>
        <v/>
      </c>
    </row>
    <row r="17" spans="2:8" ht="24" customHeight="1" x14ac:dyDescent="0.45">
      <c r="B17" s="24"/>
      <c r="C17" s="24"/>
      <c r="D17" s="26"/>
      <c r="E17" s="24"/>
      <c r="F17"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 s="26"/>
      <c r="H17" s="27" t="str">
        <f>IF(Expenses[[#This Row],[Monthly Amount]]&lt;&gt;"",Expenses[[#This Row],[Monthly Amount]]/Income,"")</f>
        <v/>
      </c>
    </row>
    <row r="18" spans="2:8" ht="24" customHeight="1" x14ac:dyDescent="0.45">
      <c r="B18" s="24"/>
      <c r="C18" s="24"/>
      <c r="D18" s="26"/>
      <c r="E18" s="24"/>
      <c r="F18"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 s="26"/>
      <c r="H18" s="27" t="str">
        <f>IF(Expenses[[#This Row],[Monthly Amount]]&lt;&gt;"",Expenses[[#This Row],[Monthly Amount]]/Income,"")</f>
        <v/>
      </c>
    </row>
    <row r="19" spans="2:8" ht="24" customHeight="1" x14ac:dyDescent="0.45">
      <c r="B19" s="24"/>
      <c r="C19" s="24"/>
      <c r="D19" s="26"/>
      <c r="E19" s="24"/>
      <c r="F19"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 s="26"/>
      <c r="H19" s="27" t="str">
        <f>IF(Expenses[[#This Row],[Monthly Amount]]&lt;&gt;"",Expenses[[#This Row],[Monthly Amount]]/Income,"")</f>
        <v/>
      </c>
    </row>
    <row r="20" spans="2:8" ht="24" customHeight="1" x14ac:dyDescent="0.45">
      <c r="B20" s="24"/>
      <c r="C20" s="24"/>
      <c r="D20" s="26"/>
      <c r="E20" s="24"/>
      <c r="F20"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 s="26"/>
      <c r="H20" s="27" t="str">
        <f>IF(Expenses[[#This Row],[Monthly Amount]]&lt;&gt;"",Expenses[[#This Row],[Monthly Amount]]/Income,"")</f>
        <v/>
      </c>
    </row>
    <row r="21" spans="2:8" ht="24" customHeight="1" x14ac:dyDescent="0.45">
      <c r="B21" s="24"/>
      <c r="C21" s="24"/>
      <c r="D21" s="26"/>
      <c r="E21" s="24"/>
      <c r="F21"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 s="26"/>
      <c r="H21" s="27" t="str">
        <f>IF(Expenses[[#This Row],[Monthly Amount]]&lt;&gt;"",Expenses[[#This Row],[Monthly Amount]]/Income,"")</f>
        <v/>
      </c>
    </row>
    <row r="22" spans="2:8" ht="24" customHeight="1" x14ac:dyDescent="0.45">
      <c r="B22" s="24"/>
      <c r="C22" s="24"/>
      <c r="D22" s="26"/>
      <c r="E22" s="24"/>
      <c r="F22"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 s="26"/>
      <c r="H22" s="27" t="str">
        <f>IF(Expenses[[#This Row],[Monthly Amount]]&lt;&gt;"",Expenses[[#This Row],[Monthly Amount]]/Income,"")</f>
        <v/>
      </c>
    </row>
    <row r="23" spans="2:8" ht="24" customHeight="1" x14ac:dyDescent="0.45">
      <c r="B23" s="24"/>
      <c r="C23" s="24"/>
      <c r="D23" s="26"/>
      <c r="E23" s="24"/>
      <c r="F23"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 s="26"/>
      <c r="H23" s="27" t="str">
        <f>IF(Expenses[[#This Row],[Monthly Amount]]&lt;&gt;"",Expenses[[#This Row],[Monthly Amount]]/Income,"")</f>
        <v/>
      </c>
    </row>
    <row r="24" spans="2:8" ht="24" customHeight="1" x14ac:dyDescent="0.45">
      <c r="B24" s="24"/>
      <c r="C24" s="24"/>
      <c r="D24" s="26"/>
      <c r="E24" s="24"/>
      <c r="F24"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 s="26"/>
      <c r="H24" s="27" t="str">
        <f>IF(Expenses[[#This Row],[Monthly Amount]]&lt;&gt;"",Expenses[[#This Row],[Monthly Amount]]/Income,"")</f>
        <v/>
      </c>
    </row>
    <row r="25" spans="2:8" ht="24" customHeight="1" x14ac:dyDescent="0.45">
      <c r="B25" s="24"/>
      <c r="C25" s="24"/>
      <c r="D25" s="26"/>
      <c r="E25" s="24"/>
      <c r="F25" s="26"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 s="26"/>
      <c r="H25" s="27" t="str">
        <f>IF(Expenses[[#This Row],[Monthly Amount]]&lt;&gt;"",Expenses[[#This Row],[Monthly Amount]]/Income,"")</f>
        <v/>
      </c>
    </row>
    <row r="26" spans="2:8" ht="24" customHeight="1" x14ac:dyDescent="0.45">
      <c r="B26" s="31"/>
      <c r="C26" s="31"/>
      <c r="D26" s="32"/>
      <c r="E26" s="31"/>
      <c r="F2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 s="26"/>
      <c r="H26" s="33" t="str">
        <f>IF(Expenses[[#This Row],[Monthly Amount]]&lt;&gt;"",Expenses[[#This Row],[Monthly Amount]]/Income,"")</f>
        <v/>
      </c>
    </row>
    <row r="27" spans="2:8" ht="24" customHeight="1" x14ac:dyDescent="0.45">
      <c r="B27" s="31"/>
      <c r="C27" s="31"/>
      <c r="D27" s="32"/>
      <c r="E27" s="31"/>
      <c r="F2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 s="26"/>
      <c r="H27" s="33" t="str">
        <f>IF(Expenses[[#This Row],[Monthly Amount]]&lt;&gt;"",Expenses[[#This Row],[Monthly Amount]]/Income,"")</f>
        <v/>
      </c>
    </row>
    <row r="28" spans="2:8" ht="24" customHeight="1" x14ac:dyDescent="0.45">
      <c r="B28" s="31"/>
      <c r="C28" s="31"/>
      <c r="D28" s="32"/>
      <c r="E28" s="31"/>
      <c r="F2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 s="26"/>
      <c r="H28" s="33" t="str">
        <f>IF(Expenses[[#This Row],[Monthly Amount]]&lt;&gt;"",Expenses[[#This Row],[Monthly Amount]]/Income,"")</f>
        <v/>
      </c>
    </row>
    <row r="29" spans="2:8" ht="24" customHeight="1" x14ac:dyDescent="0.45">
      <c r="B29" s="31"/>
      <c r="C29" s="31"/>
      <c r="D29" s="32"/>
      <c r="E29" s="31"/>
      <c r="F2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 s="26"/>
      <c r="H29" s="33" t="str">
        <f>IF(Expenses[[#This Row],[Monthly Amount]]&lt;&gt;"",Expenses[[#This Row],[Monthly Amount]]/Income,"")</f>
        <v/>
      </c>
    </row>
    <row r="30" spans="2:8" ht="24" customHeight="1" x14ac:dyDescent="0.45">
      <c r="B30" s="31"/>
      <c r="C30" s="31"/>
      <c r="D30" s="32"/>
      <c r="E30" s="31"/>
      <c r="F3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 s="26"/>
      <c r="H30" s="33" t="str">
        <f>IF(Expenses[[#This Row],[Monthly Amount]]&lt;&gt;"",Expenses[[#This Row],[Monthly Amount]]/Income,"")</f>
        <v/>
      </c>
    </row>
    <row r="31" spans="2:8" ht="24" customHeight="1" x14ac:dyDescent="0.45">
      <c r="B31" s="31"/>
      <c r="C31" s="31"/>
      <c r="D31" s="32"/>
      <c r="E31" s="31"/>
      <c r="F3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 s="26"/>
      <c r="H31" s="33" t="str">
        <f>IF(Expenses[[#This Row],[Monthly Amount]]&lt;&gt;"",Expenses[[#This Row],[Monthly Amount]]/Income,"")</f>
        <v/>
      </c>
    </row>
    <row r="32" spans="2:8" ht="24" customHeight="1" x14ac:dyDescent="0.45">
      <c r="B32" s="31"/>
      <c r="C32" s="31"/>
      <c r="D32" s="32"/>
      <c r="E32" s="31"/>
      <c r="F3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 s="26"/>
      <c r="H32" s="33" t="str">
        <f>IF(Expenses[[#This Row],[Monthly Amount]]&lt;&gt;"",Expenses[[#This Row],[Monthly Amount]]/Income,"")</f>
        <v/>
      </c>
    </row>
    <row r="33" spans="2:8" ht="24" customHeight="1" x14ac:dyDescent="0.45">
      <c r="B33" s="31"/>
      <c r="C33" s="31"/>
      <c r="D33" s="32"/>
      <c r="E33" s="31"/>
      <c r="F3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 s="26"/>
      <c r="H33" s="33" t="str">
        <f>IF(Expenses[[#This Row],[Monthly Amount]]&lt;&gt;"",Expenses[[#This Row],[Monthly Amount]]/Income,"")</f>
        <v/>
      </c>
    </row>
    <row r="34" spans="2:8" ht="24" customHeight="1" x14ac:dyDescent="0.45">
      <c r="B34" s="31"/>
      <c r="C34" s="31"/>
      <c r="D34" s="32"/>
      <c r="E34" s="31"/>
      <c r="F3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 s="26"/>
      <c r="H34" s="33" t="str">
        <f>IF(Expenses[[#This Row],[Monthly Amount]]&lt;&gt;"",Expenses[[#This Row],[Monthly Amount]]/Income,"")</f>
        <v/>
      </c>
    </row>
    <row r="35" spans="2:8" ht="24" customHeight="1" x14ac:dyDescent="0.45">
      <c r="B35" s="31"/>
      <c r="C35" s="31"/>
      <c r="D35" s="32"/>
      <c r="E35" s="31"/>
      <c r="F3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 s="26"/>
      <c r="H35" s="33" t="str">
        <f>IF(Expenses[[#This Row],[Monthly Amount]]&lt;&gt;"",Expenses[[#This Row],[Monthly Amount]]/Income,"")</f>
        <v/>
      </c>
    </row>
    <row r="36" spans="2:8" ht="24" customHeight="1" x14ac:dyDescent="0.45">
      <c r="B36" s="31"/>
      <c r="C36" s="31"/>
      <c r="D36" s="32"/>
      <c r="E36" s="31"/>
      <c r="F3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 s="26"/>
      <c r="H36" s="33" t="str">
        <f>IF(Expenses[[#This Row],[Monthly Amount]]&lt;&gt;"",Expenses[[#This Row],[Monthly Amount]]/Income,"")</f>
        <v/>
      </c>
    </row>
    <row r="37" spans="2:8" ht="24" customHeight="1" x14ac:dyDescent="0.45">
      <c r="B37" s="31"/>
      <c r="C37" s="31"/>
      <c r="D37" s="32"/>
      <c r="E37" s="31"/>
      <c r="F3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 s="26"/>
      <c r="H37" s="33" t="str">
        <f>IF(Expenses[[#This Row],[Monthly Amount]]&lt;&gt;"",Expenses[[#This Row],[Monthly Amount]]/Income,"")</f>
        <v/>
      </c>
    </row>
    <row r="38" spans="2:8" ht="24" customHeight="1" x14ac:dyDescent="0.45">
      <c r="B38" s="31"/>
      <c r="C38" s="31"/>
      <c r="D38" s="32"/>
      <c r="E38" s="31"/>
      <c r="F3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 s="26"/>
      <c r="H38" s="33" t="str">
        <f>IF(Expenses[[#This Row],[Monthly Amount]]&lt;&gt;"",Expenses[[#This Row],[Monthly Amount]]/Income,"")</f>
        <v/>
      </c>
    </row>
    <row r="39" spans="2:8" ht="24" customHeight="1" x14ac:dyDescent="0.45">
      <c r="B39" s="31"/>
      <c r="C39" s="31"/>
      <c r="D39" s="32"/>
      <c r="E39" s="31"/>
      <c r="F3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 s="26"/>
      <c r="H39" s="33" t="str">
        <f>IF(Expenses[[#This Row],[Monthly Amount]]&lt;&gt;"",Expenses[[#This Row],[Monthly Amount]]/Income,"")</f>
        <v/>
      </c>
    </row>
    <row r="40" spans="2:8" ht="24" customHeight="1" x14ac:dyDescent="0.45">
      <c r="B40" s="31"/>
      <c r="C40" s="31"/>
      <c r="D40" s="32"/>
      <c r="E40" s="31"/>
      <c r="F4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 s="26"/>
      <c r="H40" s="33" t="str">
        <f>IF(Expenses[[#This Row],[Monthly Amount]]&lt;&gt;"",Expenses[[#This Row],[Monthly Amount]]/Income,"")</f>
        <v/>
      </c>
    </row>
    <row r="41" spans="2:8" ht="24" customHeight="1" x14ac:dyDescent="0.45">
      <c r="B41" s="31"/>
      <c r="C41" s="31"/>
      <c r="D41" s="32"/>
      <c r="E41" s="31"/>
      <c r="F4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 s="26"/>
      <c r="H41" s="33" t="str">
        <f>IF(Expenses[[#This Row],[Monthly Amount]]&lt;&gt;"",Expenses[[#This Row],[Monthly Amount]]/Income,"")</f>
        <v/>
      </c>
    </row>
    <row r="42" spans="2:8" ht="24" customHeight="1" x14ac:dyDescent="0.45">
      <c r="B42" s="31"/>
      <c r="C42" s="31"/>
      <c r="D42" s="32"/>
      <c r="E42" s="31"/>
      <c r="F4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 s="26"/>
      <c r="H42" s="33" t="str">
        <f>IF(Expenses[[#This Row],[Monthly Amount]]&lt;&gt;"",Expenses[[#This Row],[Monthly Amount]]/Income,"")</f>
        <v/>
      </c>
    </row>
    <row r="43" spans="2:8" ht="24" customHeight="1" x14ac:dyDescent="0.45">
      <c r="B43" s="31"/>
      <c r="C43" s="31"/>
      <c r="D43" s="32"/>
      <c r="E43" s="31"/>
      <c r="F4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 s="26"/>
      <c r="H43" s="33" t="str">
        <f>IF(Expenses[[#This Row],[Monthly Amount]]&lt;&gt;"",Expenses[[#This Row],[Monthly Amount]]/Income,"")</f>
        <v/>
      </c>
    </row>
    <row r="44" spans="2:8" ht="24" customHeight="1" x14ac:dyDescent="0.45">
      <c r="B44" s="31"/>
      <c r="C44" s="31"/>
      <c r="D44" s="32"/>
      <c r="E44" s="31"/>
      <c r="F4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 s="26"/>
      <c r="H44" s="33" t="str">
        <f>IF(Expenses[[#This Row],[Monthly Amount]]&lt;&gt;"",Expenses[[#This Row],[Monthly Amount]]/Income,"")</f>
        <v/>
      </c>
    </row>
    <row r="45" spans="2:8" ht="24" customHeight="1" x14ac:dyDescent="0.45">
      <c r="B45" s="31"/>
      <c r="C45" s="31"/>
      <c r="D45" s="32"/>
      <c r="E45" s="31"/>
      <c r="F4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 s="26"/>
      <c r="H45" s="33" t="str">
        <f>IF(Expenses[[#This Row],[Monthly Amount]]&lt;&gt;"",Expenses[[#This Row],[Monthly Amount]]/Income,"")</f>
        <v/>
      </c>
    </row>
    <row r="46" spans="2:8" ht="24" customHeight="1" x14ac:dyDescent="0.45">
      <c r="B46" s="31"/>
      <c r="C46" s="31"/>
      <c r="D46" s="32"/>
      <c r="E46" s="31"/>
      <c r="F4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 s="26"/>
      <c r="H46" s="33" t="str">
        <f>IF(Expenses[[#This Row],[Monthly Amount]]&lt;&gt;"",Expenses[[#This Row],[Monthly Amount]]/Income,"")</f>
        <v/>
      </c>
    </row>
    <row r="47" spans="2:8" ht="24" customHeight="1" x14ac:dyDescent="0.45">
      <c r="B47" s="31"/>
      <c r="C47" s="31"/>
      <c r="D47" s="32"/>
      <c r="E47" s="31"/>
      <c r="F4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 s="26"/>
      <c r="H47" s="33" t="str">
        <f>IF(Expenses[[#This Row],[Monthly Amount]]&lt;&gt;"",Expenses[[#This Row],[Monthly Amount]]/Income,"")</f>
        <v/>
      </c>
    </row>
    <row r="48" spans="2:8" ht="24" customHeight="1" x14ac:dyDescent="0.45">
      <c r="B48" s="31"/>
      <c r="C48" s="31"/>
      <c r="D48" s="32"/>
      <c r="E48" s="31"/>
      <c r="F4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 s="26"/>
      <c r="H48" s="33" t="str">
        <f>IF(Expenses[[#This Row],[Monthly Amount]]&lt;&gt;"",Expenses[[#This Row],[Monthly Amount]]/Income,"")</f>
        <v/>
      </c>
    </row>
    <row r="49" spans="2:8" ht="24" customHeight="1" x14ac:dyDescent="0.45">
      <c r="B49" s="31"/>
      <c r="C49" s="31"/>
      <c r="D49" s="32"/>
      <c r="E49" s="31"/>
      <c r="F4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 s="26"/>
      <c r="H49" s="33" t="str">
        <f>IF(Expenses[[#This Row],[Monthly Amount]]&lt;&gt;"",Expenses[[#This Row],[Monthly Amount]]/Income,"")</f>
        <v/>
      </c>
    </row>
    <row r="50" spans="2:8" ht="24" customHeight="1" x14ac:dyDescent="0.45">
      <c r="B50" s="31"/>
      <c r="C50" s="31"/>
      <c r="D50" s="32"/>
      <c r="E50" s="31"/>
      <c r="F5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 s="26"/>
      <c r="H50" s="33" t="str">
        <f>IF(Expenses[[#This Row],[Monthly Amount]]&lt;&gt;"",Expenses[[#This Row],[Monthly Amount]]/Income,"")</f>
        <v/>
      </c>
    </row>
    <row r="51" spans="2:8" ht="24" customHeight="1" x14ac:dyDescent="0.45">
      <c r="B51" s="31"/>
      <c r="C51" s="31"/>
      <c r="D51" s="32"/>
      <c r="E51" s="31"/>
      <c r="F5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 s="26"/>
      <c r="H51" s="33" t="str">
        <f>IF(Expenses[[#This Row],[Monthly Amount]]&lt;&gt;"",Expenses[[#This Row],[Monthly Amount]]/Income,"")</f>
        <v/>
      </c>
    </row>
    <row r="52" spans="2:8" ht="24" customHeight="1" x14ac:dyDescent="0.45">
      <c r="B52" s="31"/>
      <c r="C52" s="31"/>
      <c r="D52" s="32"/>
      <c r="E52" s="31"/>
      <c r="F5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 s="26"/>
      <c r="H52" s="33" t="str">
        <f>IF(Expenses[[#This Row],[Monthly Amount]]&lt;&gt;"",Expenses[[#This Row],[Monthly Amount]]/Income,"")</f>
        <v/>
      </c>
    </row>
    <row r="53" spans="2:8" ht="24" customHeight="1" x14ac:dyDescent="0.45">
      <c r="B53" s="31"/>
      <c r="C53" s="31"/>
      <c r="D53" s="32"/>
      <c r="E53" s="31"/>
      <c r="F5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 s="26"/>
      <c r="H53" s="33" t="str">
        <f>IF(Expenses[[#This Row],[Monthly Amount]]&lt;&gt;"",Expenses[[#This Row],[Monthly Amount]]/Income,"")</f>
        <v/>
      </c>
    </row>
    <row r="54" spans="2:8" ht="24" customHeight="1" x14ac:dyDescent="0.45">
      <c r="B54" s="31"/>
      <c r="C54" s="31"/>
      <c r="D54" s="32"/>
      <c r="E54" s="31"/>
      <c r="F5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 s="26"/>
      <c r="H54" s="33" t="str">
        <f>IF(Expenses[[#This Row],[Monthly Amount]]&lt;&gt;"",Expenses[[#This Row],[Monthly Amount]]/Income,"")</f>
        <v/>
      </c>
    </row>
    <row r="55" spans="2:8" ht="24" customHeight="1" x14ac:dyDescent="0.45">
      <c r="B55" s="31"/>
      <c r="C55" s="31"/>
      <c r="D55" s="32"/>
      <c r="E55" s="31"/>
      <c r="F5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 s="26"/>
      <c r="H55" s="33" t="str">
        <f>IF(Expenses[[#This Row],[Monthly Amount]]&lt;&gt;"",Expenses[[#This Row],[Monthly Amount]]/Income,"")</f>
        <v/>
      </c>
    </row>
    <row r="56" spans="2:8" ht="24" customHeight="1" x14ac:dyDescent="0.45">
      <c r="B56" s="31"/>
      <c r="C56" s="31"/>
      <c r="D56" s="32"/>
      <c r="E56" s="31"/>
      <c r="F5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 s="26"/>
      <c r="H56" s="33" t="str">
        <f>IF(Expenses[[#This Row],[Monthly Amount]]&lt;&gt;"",Expenses[[#This Row],[Monthly Amount]]/Income,"")</f>
        <v/>
      </c>
    </row>
    <row r="57" spans="2:8" ht="24" customHeight="1" x14ac:dyDescent="0.45">
      <c r="B57" s="31"/>
      <c r="C57" s="31"/>
      <c r="D57" s="32"/>
      <c r="E57" s="31"/>
      <c r="F5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 s="26"/>
      <c r="H57" s="33" t="str">
        <f>IF(Expenses[[#This Row],[Monthly Amount]]&lt;&gt;"",Expenses[[#This Row],[Monthly Amount]]/Income,"")</f>
        <v/>
      </c>
    </row>
    <row r="58" spans="2:8" ht="24" customHeight="1" x14ac:dyDescent="0.45">
      <c r="B58" s="31"/>
      <c r="C58" s="31"/>
      <c r="D58" s="32"/>
      <c r="E58" s="31"/>
      <c r="F5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 s="26"/>
      <c r="H58" s="33" t="str">
        <f>IF(Expenses[[#This Row],[Monthly Amount]]&lt;&gt;"",Expenses[[#This Row],[Monthly Amount]]/Income,"")</f>
        <v/>
      </c>
    </row>
    <row r="59" spans="2:8" ht="24" customHeight="1" x14ac:dyDescent="0.45">
      <c r="B59" s="31"/>
      <c r="C59" s="31"/>
      <c r="D59" s="32"/>
      <c r="E59" s="31"/>
      <c r="F5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 s="26"/>
      <c r="H59" s="33" t="str">
        <f>IF(Expenses[[#This Row],[Monthly Amount]]&lt;&gt;"",Expenses[[#This Row],[Monthly Amount]]/Income,"")</f>
        <v/>
      </c>
    </row>
    <row r="60" spans="2:8" ht="24" customHeight="1" x14ac:dyDescent="0.45">
      <c r="B60" s="31"/>
      <c r="C60" s="31"/>
      <c r="D60" s="32"/>
      <c r="E60" s="31"/>
      <c r="F6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 s="26"/>
      <c r="H60" s="33" t="str">
        <f>IF(Expenses[[#This Row],[Monthly Amount]]&lt;&gt;"",Expenses[[#This Row],[Monthly Amount]]/Income,"")</f>
        <v/>
      </c>
    </row>
    <row r="61" spans="2:8" ht="24" customHeight="1" x14ac:dyDescent="0.45">
      <c r="B61" s="31"/>
      <c r="C61" s="31"/>
      <c r="D61" s="32"/>
      <c r="E61" s="31"/>
      <c r="F6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 s="26"/>
      <c r="H61" s="33" t="str">
        <f>IF(Expenses[[#This Row],[Monthly Amount]]&lt;&gt;"",Expenses[[#This Row],[Monthly Amount]]/Income,"")</f>
        <v/>
      </c>
    </row>
    <row r="62" spans="2:8" ht="24" customHeight="1" x14ac:dyDescent="0.45">
      <c r="B62" s="31"/>
      <c r="C62" s="31"/>
      <c r="D62" s="32"/>
      <c r="E62" s="31"/>
      <c r="F6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 s="26"/>
      <c r="H62" s="33" t="str">
        <f>IF(Expenses[[#This Row],[Monthly Amount]]&lt;&gt;"",Expenses[[#This Row],[Monthly Amount]]/Income,"")</f>
        <v/>
      </c>
    </row>
    <row r="63" spans="2:8" ht="24" customHeight="1" x14ac:dyDescent="0.45">
      <c r="B63" s="31"/>
      <c r="C63" s="31"/>
      <c r="D63" s="32"/>
      <c r="E63" s="31"/>
      <c r="F6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 s="26"/>
      <c r="H63" s="33" t="str">
        <f>IF(Expenses[[#This Row],[Monthly Amount]]&lt;&gt;"",Expenses[[#This Row],[Monthly Amount]]/Income,"")</f>
        <v/>
      </c>
    </row>
    <row r="64" spans="2:8" ht="24" customHeight="1" x14ac:dyDescent="0.45">
      <c r="B64" s="31"/>
      <c r="C64" s="31"/>
      <c r="D64" s="32"/>
      <c r="E64" s="31"/>
      <c r="F6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 s="26"/>
      <c r="H64" s="33" t="str">
        <f>IF(Expenses[[#This Row],[Monthly Amount]]&lt;&gt;"",Expenses[[#This Row],[Monthly Amount]]/Income,"")</f>
        <v/>
      </c>
    </row>
    <row r="65" spans="2:8" ht="24" customHeight="1" x14ac:dyDescent="0.45">
      <c r="B65" s="31"/>
      <c r="C65" s="31"/>
      <c r="D65" s="32"/>
      <c r="E65" s="31"/>
      <c r="F6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 s="26"/>
      <c r="H65" s="33" t="str">
        <f>IF(Expenses[[#This Row],[Monthly Amount]]&lt;&gt;"",Expenses[[#This Row],[Monthly Amount]]/Income,"")</f>
        <v/>
      </c>
    </row>
    <row r="66" spans="2:8" ht="24" customHeight="1" x14ac:dyDescent="0.45">
      <c r="B66" s="31"/>
      <c r="C66" s="31"/>
      <c r="D66" s="32"/>
      <c r="E66" s="31"/>
      <c r="F6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 s="26"/>
      <c r="H66" s="33" t="str">
        <f>IF(Expenses[[#This Row],[Monthly Amount]]&lt;&gt;"",Expenses[[#This Row],[Monthly Amount]]/Income,"")</f>
        <v/>
      </c>
    </row>
    <row r="67" spans="2:8" ht="24" customHeight="1" x14ac:dyDescent="0.45">
      <c r="B67" s="31"/>
      <c r="C67" s="31"/>
      <c r="D67" s="32"/>
      <c r="E67" s="31"/>
      <c r="F6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 s="26"/>
      <c r="H67" s="33" t="str">
        <f>IF(Expenses[[#This Row],[Monthly Amount]]&lt;&gt;"",Expenses[[#This Row],[Monthly Amount]]/Income,"")</f>
        <v/>
      </c>
    </row>
    <row r="68" spans="2:8" ht="24" customHeight="1" x14ac:dyDescent="0.45">
      <c r="B68" s="31"/>
      <c r="C68" s="31"/>
      <c r="D68" s="32"/>
      <c r="E68" s="31"/>
      <c r="F6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 s="26"/>
      <c r="H68" s="33" t="str">
        <f>IF(Expenses[[#This Row],[Monthly Amount]]&lt;&gt;"",Expenses[[#This Row],[Monthly Amount]]/Income,"")</f>
        <v/>
      </c>
    </row>
    <row r="69" spans="2:8" ht="24" customHeight="1" x14ac:dyDescent="0.45">
      <c r="B69" s="31"/>
      <c r="C69" s="31"/>
      <c r="D69" s="32"/>
      <c r="E69" s="31"/>
      <c r="F6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9" s="26"/>
      <c r="H69" s="33" t="str">
        <f>IF(Expenses[[#This Row],[Monthly Amount]]&lt;&gt;"",Expenses[[#This Row],[Monthly Amount]]/Income,"")</f>
        <v/>
      </c>
    </row>
    <row r="70" spans="2:8" ht="24" customHeight="1" x14ac:dyDescent="0.45">
      <c r="B70" s="31"/>
      <c r="C70" s="31"/>
      <c r="D70" s="32"/>
      <c r="E70" s="31"/>
      <c r="F7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0" s="26"/>
      <c r="H70" s="33" t="str">
        <f>IF(Expenses[[#This Row],[Monthly Amount]]&lt;&gt;"",Expenses[[#This Row],[Monthly Amount]]/Income,"")</f>
        <v/>
      </c>
    </row>
    <row r="71" spans="2:8" ht="24" customHeight="1" x14ac:dyDescent="0.45">
      <c r="B71" s="31"/>
      <c r="C71" s="31"/>
      <c r="D71" s="32"/>
      <c r="E71" s="31"/>
      <c r="F7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1" s="26"/>
      <c r="H71" s="33" t="str">
        <f>IF(Expenses[[#This Row],[Monthly Amount]]&lt;&gt;"",Expenses[[#This Row],[Monthly Amount]]/Income,"")</f>
        <v/>
      </c>
    </row>
    <row r="72" spans="2:8" ht="24" customHeight="1" x14ac:dyDescent="0.45">
      <c r="B72" s="31"/>
      <c r="C72" s="31"/>
      <c r="D72" s="32"/>
      <c r="E72" s="31"/>
      <c r="F7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2" s="26"/>
      <c r="H72" s="33" t="str">
        <f>IF(Expenses[[#This Row],[Monthly Amount]]&lt;&gt;"",Expenses[[#This Row],[Monthly Amount]]/Income,"")</f>
        <v/>
      </c>
    </row>
    <row r="73" spans="2:8" ht="24" customHeight="1" x14ac:dyDescent="0.45">
      <c r="B73" s="31"/>
      <c r="C73" s="31"/>
      <c r="D73" s="32"/>
      <c r="E73" s="31"/>
      <c r="F7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3" s="26"/>
      <c r="H73" s="33" t="str">
        <f>IF(Expenses[[#This Row],[Monthly Amount]]&lt;&gt;"",Expenses[[#This Row],[Monthly Amount]]/Income,"")</f>
        <v/>
      </c>
    </row>
    <row r="74" spans="2:8" ht="24" customHeight="1" x14ac:dyDescent="0.45">
      <c r="B74" s="31"/>
      <c r="C74" s="31"/>
      <c r="D74" s="32"/>
      <c r="E74" s="31"/>
      <c r="F7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4" s="26"/>
      <c r="H74" s="33" t="str">
        <f>IF(Expenses[[#This Row],[Monthly Amount]]&lt;&gt;"",Expenses[[#This Row],[Monthly Amount]]/Income,"")</f>
        <v/>
      </c>
    </row>
    <row r="75" spans="2:8" ht="24" customHeight="1" x14ac:dyDescent="0.45">
      <c r="B75" s="31"/>
      <c r="C75" s="31"/>
      <c r="D75" s="32"/>
      <c r="E75" s="31"/>
      <c r="F7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5" s="26"/>
      <c r="H75" s="33" t="str">
        <f>IF(Expenses[[#This Row],[Monthly Amount]]&lt;&gt;"",Expenses[[#This Row],[Monthly Amount]]/Income,"")</f>
        <v/>
      </c>
    </row>
    <row r="76" spans="2:8" ht="24" customHeight="1" x14ac:dyDescent="0.45">
      <c r="B76" s="31"/>
      <c r="C76" s="31"/>
      <c r="D76" s="32"/>
      <c r="E76" s="31"/>
      <c r="F7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6" s="26"/>
      <c r="H76" s="33" t="str">
        <f>IF(Expenses[[#This Row],[Monthly Amount]]&lt;&gt;"",Expenses[[#This Row],[Monthly Amount]]/Income,"")</f>
        <v/>
      </c>
    </row>
    <row r="77" spans="2:8" ht="24" customHeight="1" x14ac:dyDescent="0.45">
      <c r="B77" s="31"/>
      <c r="C77" s="31"/>
      <c r="D77" s="32"/>
      <c r="E77" s="31"/>
      <c r="F7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7" s="26"/>
      <c r="H77" s="33" t="str">
        <f>IF(Expenses[[#This Row],[Monthly Amount]]&lt;&gt;"",Expenses[[#This Row],[Monthly Amount]]/Income,"")</f>
        <v/>
      </c>
    </row>
    <row r="78" spans="2:8" ht="24" customHeight="1" x14ac:dyDescent="0.45">
      <c r="B78" s="31"/>
      <c r="C78" s="31"/>
      <c r="D78" s="32"/>
      <c r="E78" s="31"/>
      <c r="F7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8" s="26"/>
      <c r="H78" s="33" t="str">
        <f>IF(Expenses[[#This Row],[Monthly Amount]]&lt;&gt;"",Expenses[[#This Row],[Monthly Amount]]/Income,"")</f>
        <v/>
      </c>
    </row>
    <row r="79" spans="2:8" ht="24" customHeight="1" x14ac:dyDescent="0.45">
      <c r="B79" s="31"/>
      <c r="C79" s="31"/>
      <c r="D79" s="32"/>
      <c r="E79" s="31"/>
      <c r="F7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79" s="26"/>
      <c r="H79" s="33" t="str">
        <f>IF(Expenses[[#This Row],[Monthly Amount]]&lt;&gt;"",Expenses[[#This Row],[Monthly Amount]]/Income,"")</f>
        <v/>
      </c>
    </row>
    <row r="80" spans="2:8" ht="24" customHeight="1" x14ac:dyDescent="0.45">
      <c r="B80" s="31"/>
      <c r="C80" s="31"/>
      <c r="D80" s="32"/>
      <c r="E80" s="31"/>
      <c r="F8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0" s="26"/>
      <c r="H80" s="33" t="str">
        <f>IF(Expenses[[#This Row],[Monthly Amount]]&lt;&gt;"",Expenses[[#This Row],[Monthly Amount]]/Income,"")</f>
        <v/>
      </c>
    </row>
    <row r="81" spans="2:8" ht="24" customHeight="1" x14ac:dyDescent="0.45">
      <c r="B81" s="31"/>
      <c r="C81" s="31"/>
      <c r="D81" s="32"/>
      <c r="E81" s="31"/>
      <c r="F8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1" s="26"/>
      <c r="H81" s="33" t="str">
        <f>IF(Expenses[[#This Row],[Monthly Amount]]&lt;&gt;"",Expenses[[#This Row],[Monthly Amount]]/Income,"")</f>
        <v/>
      </c>
    </row>
    <row r="82" spans="2:8" ht="24" customHeight="1" x14ac:dyDescent="0.45">
      <c r="B82" s="31"/>
      <c r="C82" s="31"/>
      <c r="D82" s="32"/>
      <c r="E82" s="31"/>
      <c r="F8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2" s="26"/>
      <c r="H82" s="33" t="str">
        <f>IF(Expenses[[#This Row],[Monthly Amount]]&lt;&gt;"",Expenses[[#This Row],[Monthly Amount]]/Income,"")</f>
        <v/>
      </c>
    </row>
    <row r="83" spans="2:8" ht="24" customHeight="1" x14ac:dyDescent="0.45">
      <c r="B83" s="31"/>
      <c r="C83" s="31"/>
      <c r="D83" s="32"/>
      <c r="E83" s="31"/>
      <c r="F8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3" s="26"/>
      <c r="H83" s="33" t="str">
        <f>IF(Expenses[[#This Row],[Monthly Amount]]&lt;&gt;"",Expenses[[#This Row],[Monthly Amount]]/Income,"")</f>
        <v/>
      </c>
    </row>
    <row r="84" spans="2:8" ht="24" customHeight="1" x14ac:dyDescent="0.45">
      <c r="B84" s="31"/>
      <c r="C84" s="31"/>
      <c r="D84" s="32"/>
      <c r="E84" s="31"/>
      <c r="F8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4" s="26"/>
      <c r="H84" s="33" t="str">
        <f>IF(Expenses[[#This Row],[Monthly Amount]]&lt;&gt;"",Expenses[[#This Row],[Monthly Amount]]/Income,"")</f>
        <v/>
      </c>
    </row>
    <row r="85" spans="2:8" ht="24" customHeight="1" x14ac:dyDescent="0.45">
      <c r="B85" s="31"/>
      <c r="C85" s="31"/>
      <c r="D85" s="32"/>
      <c r="E85" s="31"/>
      <c r="F8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5" s="26"/>
      <c r="H85" s="33" t="str">
        <f>IF(Expenses[[#This Row],[Monthly Amount]]&lt;&gt;"",Expenses[[#This Row],[Monthly Amount]]/Income,"")</f>
        <v/>
      </c>
    </row>
    <row r="86" spans="2:8" ht="24" customHeight="1" x14ac:dyDescent="0.45">
      <c r="B86" s="31"/>
      <c r="C86" s="31"/>
      <c r="D86" s="32"/>
      <c r="E86" s="31"/>
      <c r="F8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6" s="26"/>
      <c r="H86" s="33" t="str">
        <f>IF(Expenses[[#This Row],[Monthly Amount]]&lt;&gt;"",Expenses[[#This Row],[Monthly Amount]]/Income,"")</f>
        <v/>
      </c>
    </row>
    <row r="87" spans="2:8" ht="24" customHeight="1" x14ac:dyDescent="0.45">
      <c r="B87" s="31"/>
      <c r="C87" s="31"/>
      <c r="D87" s="32"/>
      <c r="E87" s="31"/>
      <c r="F8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7" s="26"/>
      <c r="H87" s="33" t="str">
        <f>IF(Expenses[[#This Row],[Monthly Amount]]&lt;&gt;"",Expenses[[#This Row],[Monthly Amount]]/Income,"")</f>
        <v/>
      </c>
    </row>
    <row r="88" spans="2:8" ht="24" customHeight="1" x14ac:dyDescent="0.45">
      <c r="B88" s="31"/>
      <c r="C88" s="31"/>
      <c r="D88" s="32"/>
      <c r="E88" s="31"/>
      <c r="F8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8" s="26"/>
      <c r="H88" s="33" t="str">
        <f>IF(Expenses[[#This Row],[Monthly Amount]]&lt;&gt;"",Expenses[[#This Row],[Monthly Amount]]/Income,"")</f>
        <v/>
      </c>
    </row>
    <row r="89" spans="2:8" ht="24" customHeight="1" x14ac:dyDescent="0.45">
      <c r="B89" s="31"/>
      <c r="C89" s="31"/>
      <c r="D89" s="32"/>
      <c r="E89" s="31"/>
      <c r="F8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89" s="26"/>
      <c r="H89" s="33" t="str">
        <f>IF(Expenses[[#This Row],[Monthly Amount]]&lt;&gt;"",Expenses[[#This Row],[Monthly Amount]]/Income,"")</f>
        <v/>
      </c>
    </row>
    <row r="90" spans="2:8" ht="24" customHeight="1" x14ac:dyDescent="0.45">
      <c r="B90" s="31"/>
      <c r="C90" s="31"/>
      <c r="D90" s="32"/>
      <c r="E90" s="31"/>
      <c r="F9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0" s="26"/>
      <c r="H90" s="33" t="str">
        <f>IF(Expenses[[#This Row],[Monthly Amount]]&lt;&gt;"",Expenses[[#This Row],[Monthly Amount]]/Income,"")</f>
        <v/>
      </c>
    </row>
    <row r="91" spans="2:8" ht="24" customHeight="1" x14ac:dyDescent="0.45">
      <c r="B91" s="31"/>
      <c r="C91" s="31"/>
      <c r="D91" s="32"/>
      <c r="E91" s="31"/>
      <c r="F9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1" s="26"/>
      <c r="H91" s="33" t="str">
        <f>IF(Expenses[[#This Row],[Monthly Amount]]&lt;&gt;"",Expenses[[#This Row],[Monthly Amount]]/Income,"")</f>
        <v/>
      </c>
    </row>
    <row r="92" spans="2:8" ht="24" customHeight="1" x14ac:dyDescent="0.45">
      <c r="B92" s="31"/>
      <c r="C92" s="31"/>
      <c r="D92" s="32"/>
      <c r="E92" s="31"/>
      <c r="F9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2" s="26"/>
      <c r="H92" s="33" t="str">
        <f>IF(Expenses[[#This Row],[Monthly Amount]]&lt;&gt;"",Expenses[[#This Row],[Monthly Amount]]/Income,"")</f>
        <v/>
      </c>
    </row>
    <row r="93" spans="2:8" ht="24" customHeight="1" x14ac:dyDescent="0.45">
      <c r="B93" s="31"/>
      <c r="C93" s="31"/>
      <c r="D93" s="32"/>
      <c r="E93" s="31"/>
      <c r="F9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3" s="26"/>
      <c r="H93" s="33" t="str">
        <f>IF(Expenses[[#This Row],[Monthly Amount]]&lt;&gt;"",Expenses[[#This Row],[Monthly Amount]]/Income,"")</f>
        <v/>
      </c>
    </row>
    <row r="94" spans="2:8" ht="24" customHeight="1" x14ac:dyDescent="0.45">
      <c r="B94" s="31"/>
      <c r="C94" s="31"/>
      <c r="D94" s="32"/>
      <c r="E94" s="31"/>
      <c r="F9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4" s="26"/>
      <c r="H94" s="33" t="str">
        <f>IF(Expenses[[#This Row],[Monthly Amount]]&lt;&gt;"",Expenses[[#This Row],[Monthly Amount]]/Income,"")</f>
        <v/>
      </c>
    </row>
    <row r="95" spans="2:8" ht="24" customHeight="1" x14ac:dyDescent="0.45">
      <c r="B95" s="31"/>
      <c r="C95" s="31"/>
      <c r="D95" s="32"/>
      <c r="E95" s="31"/>
      <c r="F9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5" s="26"/>
      <c r="H95" s="33" t="str">
        <f>IF(Expenses[[#This Row],[Monthly Amount]]&lt;&gt;"",Expenses[[#This Row],[Monthly Amount]]/Income,"")</f>
        <v/>
      </c>
    </row>
    <row r="96" spans="2:8" ht="24" customHeight="1" x14ac:dyDescent="0.45">
      <c r="B96" s="31"/>
      <c r="C96" s="31"/>
      <c r="D96" s="32"/>
      <c r="E96" s="31"/>
      <c r="F9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6" s="26"/>
      <c r="H96" s="33" t="str">
        <f>IF(Expenses[[#This Row],[Monthly Amount]]&lt;&gt;"",Expenses[[#This Row],[Monthly Amount]]/Income,"")</f>
        <v/>
      </c>
    </row>
    <row r="97" spans="2:8" ht="24" customHeight="1" x14ac:dyDescent="0.45">
      <c r="B97" s="31"/>
      <c r="C97" s="31"/>
      <c r="D97" s="32"/>
      <c r="E97" s="31"/>
      <c r="F9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7" s="26"/>
      <c r="H97" s="33" t="str">
        <f>IF(Expenses[[#This Row],[Monthly Amount]]&lt;&gt;"",Expenses[[#This Row],[Monthly Amount]]/Income,"")</f>
        <v/>
      </c>
    </row>
    <row r="98" spans="2:8" ht="24" customHeight="1" x14ac:dyDescent="0.45">
      <c r="B98" s="31"/>
      <c r="C98" s="31"/>
      <c r="D98" s="32"/>
      <c r="E98" s="31"/>
      <c r="F9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8" s="26"/>
      <c r="H98" s="33" t="str">
        <f>IF(Expenses[[#This Row],[Monthly Amount]]&lt;&gt;"",Expenses[[#This Row],[Monthly Amount]]/Income,"")</f>
        <v/>
      </c>
    </row>
    <row r="99" spans="2:8" ht="24" customHeight="1" x14ac:dyDescent="0.45">
      <c r="B99" s="31"/>
      <c r="C99" s="31"/>
      <c r="D99" s="32"/>
      <c r="E99" s="31"/>
      <c r="F9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99" s="26"/>
      <c r="H99" s="33" t="str">
        <f>IF(Expenses[[#This Row],[Monthly Amount]]&lt;&gt;"",Expenses[[#This Row],[Monthly Amount]]/Income,"")</f>
        <v/>
      </c>
    </row>
    <row r="100" spans="2:8" ht="24" customHeight="1" x14ac:dyDescent="0.45">
      <c r="B100" s="31"/>
      <c r="C100" s="31"/>
      <c r="D100" s="32"/>
      <c r="E100" s="31"/>
      <c r="F10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0" s="26"/>
      <c r="H100" s="33" t="str">
        <f>IF(Expenses[[#This Row],[Monthly Amount]]&lt;&gt;"",Expenses[[#This Row],[Monthly Amount]]/Income,"")</f>
        <v/>
      </c>
    </row>
    <row r="101" spans="2:8" ht="24" customHeight="1" x14ac:dyDescent="0.45">
      <c r="B101" s="31"/>
      <c r="C101" s="31"/>
      <c r="D101" s="32"/>
      <c r="E101" s="31"/>
      <c r="F10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1" s="26"/>
      <c r="H101" s="33" t="str">
        <f>IF(Expenses[[#This Row],[Monthly Amount]]&lt;&gt;"",Expenses[[#This Row],[Monthly Amount]]/Income,"")</f>
        <v/>
      </c>
    </row>
    <row r="102" spans="2:8" ht="24" customHeight="1" x14ac:dyDescent="0.45">
      <c r="B102" s="31"/>
      <c r="C102" s="31"/>
      <c r="D102" s="32"/>
      <c r="E102" s="31"/>
      <c r="F10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2" s="26"/>
      <c r="H102" s="33" t="str">
        <f>IF(Expenses[[#This Row],[Monthly Amount]]&lt;&gt;"",Expenses[[#This Row],[Monthly Amount]]/Income,"")</f>
        <v/>
      </c>
    </row>
    <row r="103" spans="2:8" ht="24" customHeight="1" x14ac:dyDescent="0.45">
      <c r="B103" s="31"/>
      <c r="C103" s="31"/>
      <c r="D103" s="32"/>
      <c r="E103" s="31"/>
      <c r="F10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3" s="26"/>
      <c r="H103" s="33" t="str">
        <f>IF(Expenses[[#This Row],[Monthly Amount]]&lt;&gt;"",Expenses[[#This Row],[Monthly Amount]]/Income,"")</f>
        <v/>
      </c>
    </row>
    <row r="104" spans="2:8" ht="24" customHeight="1" x14ac:dyDescent="0.45">
      <c r="B104" s="31"/>
      <c r="C104" s="31"/>
      <c r="D104" s="32"/>
      <c r="E104" s="31"/>
      <c r="F10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4" s="26"/>
      <c r="H104" s="33" t="str">
        <f>IF(Expenses[[#This Row],[Monthly Amount]]&lt;&gt;"",Expenses[[#This Row],[Monthly Amount]]/Income,"")</f>
        <v/>
      </c>
    </row>
    <row r="105" spans="2:8" ht="24" customHeight="1" x14ac:dyDescent="0.45">
      <c r="B105" s="31"/>
      <c r="C105" s="31"/>
      <c r="D105" s="32"/>
      <c r="E105" s="31"/>
      <c r="F10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5" s="26"/>
      <c r="H105" s="33" t="str">
        <f>IF(Expenses[[#This Row],[Monthly Amount]]&lt;&gt;"",Expenses[[#This Row],[Monthly Amount]]/Income,"")</f>
        <v/>
      </c>
    </row>
    <row r="106" spans="2:8" ht="24" customHeight="1" x14ac:dyDescent="0.45">
      <c r="B106" s="31"/>
      <c r="C106" s="31"/>
      <c r="D106" s="32"/>
      <c r="E106" s="31"/>
      <c r="F10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6" s="26"/>
      <c r="H106" s="33" t="str">
        <f>IF(Expenses[[#This Row],[Monthly Amount]]&lt;&gt;"",Expenses[[#This Row],[Monthly Amount]]/Income,"")</f>
        <v/>
      </c>
    </row>
    <row r="107" spans="2:8" ht="24" customHeight="1" x14ac:dyDescent="0.45">
      <c r="B107" s="31"/>
      <c r="C107" s="31"/>
      <c r="D107" s="32"/>
      <c r="E107" s="31"/>
      <c r="F10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7" s="26"/>
      <c r="H107" s="33" t="str">
        <f>IF(Expenses[[#This Row],[Monthly Amount]]&lt;&gt;"",Expenses[[#This Row],[Monthly Amount]]/Income,"")</f>
        <v/>
      </c>
    </row>
    <row r="108" spans="2:8" ht="24" customHeight="1" x14ac:dyDescent="0.45">
      <c r="B108" s="31"/>
      <c r="C108" s="31"/>
      <c r="D108" s="32"/>
      <c r="E108" s="31"/>
      <c r="F10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8" s="26"/>
      <c r="H108" s="33" t="str">
        <f>IF(Expenses[[#This Row],[Monthly Amount]]&lt;&gt;"",Expenses[[#This Row],[Monthly Amount]]/Income,"")</f>
        <v/>
      </c>
    </row>
    <row r="109" spans="2:8" ht="24" customHeight="1" x14ac:dyDescent="0.45">
      <c r="B109" s="31"/>
      <c r="C109" s="31"/>
      <c r="D109" s="32"/>
      <c r="E109" s="31"/>
      <c r="F10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09" s="26"/>
      <c r="H109" s="33" t="str">
        <f>IF(Expenses[[#This Row],[Monthly Amount]]&lt;&gt;"",Expenses[[#This Row],[Monthly Amount]]/Income,"")</f>
        <v/>
      </c>
    </row>
    <row r="110" spans="2:8" ht="24" customHeight="1" x14ac:dyDescent="0.45">
      <c r="B110" s="31"/>
      <c r="C110" s="31"/>
      <c r="D110" s="32"/>
      <c r="E110" s="31"/>
      <c r="F11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0" s="26"/>
      <c r="H110" s="33" t="str">
        <f>IF(Expenses[[#This Row],[Monthly Amount]]&lt;&gt;"",Expenses[[#This Row],[Monthly Amount]]/Income,"")</f>
        <v/>
      </c>
    </row>
    <row r="111" spans="2:8" ht="24" customHeight="1" x14ac:dyDescent="0.45">
      <c r="B111" s="31"/>
      <c r="C111" s="31"/>
      <c r="D111" s="32"/>
      <c r="E111" s="31"/>
      <c r="F11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1" s="26"/>
      <c r="H111" s="33" t="str">
        <f>IF(Expenses[[#This Row],[Monthly Amount]]&lt;&gt;"",Expenses[[#This Row],[Monthly Amount]]/Income,"")</f>
        <v/>
      </c>
    </row>
    <row r="112" spans="2:8" ht="24" customHeight="1" x14ac:dyDescent="0.45">
      <c r="B112" s="31"/>
      <c r="C112" s="31"/>
      <c r="D112" s="32"/>
      <c r="E112" s="31"/>
      <c r="F11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2" s="26"/>
      <c r="H112" s="33" t="str">
        <f>IF(Expenses[[#This Row],[Monthly Amount]]&lt;&gt;"",Expenses[[#This Row],[Monthly Amount]]/Income,"")</f>
        <v/>
      </c>
    </row>
    <row r="113" spans="2:8" ht="24" customHeight="1" x14ac:dyDescent="0.45">
      <c r="B113" s="31"/>
      <c r="C113" s="31"/>
      <c r="D113" s="32"/>
      <c r="E113" s="31"/>
      <c r="F11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3" s="26"/>
      <c r="H113" s="33" t="str">
        <f>IF(Expenses[[#This Row],[Monthly Amount]]&lt;&gt;"",Expenses[[#This Row],[Monthly Amount]]/Income,"")</f>
        <v/>
      </c>
    </row>
    <row r="114" spans="2:8" ht="24" customHeight="1" x14ac:dyDescent="0.45">
      <c r="B114" s="31"/>
      <c r="C114" s="31"/>
      <c r="D114" s="32"/>
      <c r="E114" s="31"/>
      <c r="F11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4" s="26"/>
      <c r="H114" s="33" t="str">
        <f>IF(Expenses[[#This Row],[Monthly Amount]]&lt;&gt;"",Expenses[[#This Row],[Monthly Amount]]/Income,"")</f>
        <v/>
      </c>
    </row>
    <row r="115" spans="2:8" ht="24" customHeight="1" x14ac:dyDescent="0.45">
      <c r="B115" s="31"/>
      <c r="C115" s="31"/>
      <c r="D115" s="32"/>
      <c r="E115" s="31"/>
      <c r="F11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5" s="26"/>
      <c r="H115" s="33" t="str">
        <f>IF(Expenses[[#This Row],[Monthly Amount]]&lt;&gt;"",Expenses[[#This Row],[Monthly Amount]]/Income,"")</f>
        <v/>
      </c>
    </row>
    <row r="116" spans="2:8" ht="24" customHeight="1" x14ac:dyDescent="0.45">
      <c r="B116" s="31"/>
      <c r="C116" s="31"/>
      <c r="D116" s="32"/>
      <c r="E116" s="31"/>
      <c r="F11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6" s="26"/>
      <c r="H116" s="33" t="str">
        <f>IF(Expenses[[#This Row],[Monthly Amount]]&lt;&gt;"",Expenses[[#This Row],[Monthly Amount]]/Income,"")</f>
        <v/>
      </c>
    </row>
    <row r="117" spans="2:8" ht="24" customHeight="1" x14ac:dyDescent="0.45">
      <c r="B117" s="31"/>
      <c r="C117" s="31"/>
      <c r="D117" s="32"/>
      <c r="E117" s="31"/>
      <c r="F11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7" s="26"/>
      <c r="H117" s="33" t="str">
        <f>IF(Expenses[[#This Row],[Monthly Amount]]&lt;&gt;"",Expenses[[#This Row],[Monthly Amount]]/Income,"")</f>
        <v/>
      </c>
    </row>
    <row r="118" spans="2:8" ht="24" customHeight="1" x14ac:dyDescent="0.45">
      <c r="B118" s="31"/>
      <c r="C118" s="31"/>
      <c r="D118" s="32"/>
      <c r="E118" s="31"/>
      <c r="F11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8" s="26"/>
      <c r="H118" s="33" t="str">
        <f>IF(Expenses[[#This Row],[Monthly Amount]]&lt;&gt;"",Expenses[[#This Row],[Monthly Amount]]/Income,"")</f>
        <v/>
      </c>
    </row>
    <row r="119" spans="2:8" ht="24" customHeight="1" x14ac:dyDescent="0.45">
      <c r="B119" s="31"/>
      <c r="C119" s="31"/>
      <c r="D119" s="32"/>
      <c r="E119" s="31"/>
      <c r="F11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19" s="26"/>
      <c r="H119" s="33" t="str">
        <f>IF(Expenses[[#This Row],[Monthly Amount]]&lt;&gt;"",Expenses[[#This Row],[Monthly Amount]]/Income,"")</f>
        <v/>
      </c>
    </row>
    <row r="120" spans="2:8" ht="24" customHeight="1" x14ac:dyDescent="0.45">
      <c r="B120" s="31"/>
      <c r="C120" s="31"/>
      <c r="D120" s="32"/>
      <c r="E120" s="31"/>
      <c r="F12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0" s="26"/>
      <c r="H120" s="33" t="str">
        <f>IF(Expenses[[#This Row],[Monthly Amount]]&lt;&gt;"",Expenses[[#This Row],[Monthly Amount]]/Income,"")</f>
        <v/>
      </c>
    </row>
    <row r="121" spans="2:8" ht="24" customHeight="1" x14ac:dyDescent="0.45">
      <c r="B121" s="31"/>
      <c r="C121" s="31"/>
      <c r="D121" s="32"/>
      <c r="E121" s="31"/>
      <c r="F12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1" s="26"/>
      <c r="H121" s="33" t="str">
        <f>IF(Expenses[[#This Row],[Monthly Amount]]&lt;&gt;"",Expenses[[#This Row],[Monthly Amount]]/Income,"")</f>
        <v/>
      </c>
    </row>
    <row r="122" spans="2:8" ht="24" customHeight="1" x14ac:dyDescent="0.45">
      <c r="B122" s="31"/>
      <c r="C122" s="31"/>
      <c r="D122" s="32"/>
      <c r="E122" s="31"/>
      <c r="F12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2" s="26"/>
      <c r="H122" s="33" t="str">
        <f>IF(Expenses[[#This Row],[Monthly Amount]]&lt;&gt;"",Expenses[[#This Row],[Monthly Amount]]/Income,"")</f>
        <v/>
      </c>
    </row>
    <row r="123" spans="2:8" ht="24" customHeight="1" x14ac:dyDescent="0.45">
      <c r="B123" s="31"/>
      <c r="C123" s="31"/>
      <c r="D123" s="32"/>
      <c r="E123" s="31"/>
      <c r="F12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3" s="26"/>
      <c r="H123" s="33" t="str">
        <f>IF(Expenses[[#This Row],[Monthly Amount]]&lt;&gt;"",Expenses[[#This Row],[Monthly Amount]]/Income,"")</f>
        <v/>
      </c>
    </row>
    <row r="124" spans="2:8" ht="24" customHeight="1" x14ac:dyDescent="0.45">
      <c r="B124" s="31"/>
      <c r="C124" s="31"/>
      <c r="D124" s="32"/>
      <c r="E124" s="31"/>
      <c r="F12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4" s="26"/>
      <c r="H124" s="33" t="str">
        <f>IF(Expenses[[#This Row],[Monthly Amount]]&lt;&gt;"",Expenses[[#This Row],[Monthly Amount]]/Income,"")</f>
        <v/>
      </c>
    </row>
    <row r="125" spans="2:8" ht="24" customHeight="1" x14ac:dyDescent="0.45">
      <c r="B125" s="31"/>
      <c r="C125" s="31"/>
      <c r="D125" s="32"/>
      <c r="E125" s="31"/>
      <c r="F12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5" s="26"/>
      <c r="H125" s="33" t="str">
        <f>IF(Expenses[[#This Row],[Monthly Amount]]&lt;&gt;"",Expenses[[#This Row],[Monthly Amount]]/Income,"")</f>
        <v/>
      </c>
    </row>
    <row r="126" spans="2:8" ht="24" customHeight="1" x14ac:dyDescent="0.45">
      <c r="B126" s="31"/>
      <c r="C126" s="31"/>
      <c r="D126" s="32"/>
      <c r="E126" s="31"/>
      <c r="F12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6" s="26"/>
      <c r="H126" s="33" t="str">
        <f>IF(Expenses[[#This Row],[Monthly Amount]]&lt;&gt;"",Expenses[[#This Row],[Monthly Amount]]/Income,"")</f>
        <v/>
      </c>
    </row>
    <row r="127" spans="2:8" ht="24" customHeight="1" x14ac:dyDescent="0.45">
      <c r="B127" s="31"/>
      <c r="C127" s="31"/>
      <c r="D127" s="32"/>
      <c r="E127" s="31"/>
      <c r="F12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7" s="26"/>
      <c r="H127" s="33" t="str">
        <f>IF(Expenses[[#This Row],[Monthly Amount]]&lt;&gt;"",Expenses[[#This Row],[Monthly Amount]]/Income,"")</f>
        <v/>
      </c>
    </row>
    <row r="128" spans="2:8" ht="24" customHeight="1" x14ac:dyDescent="0.45">
      <c r="B128" s="31"/>
      <c r="C128" s="31"/>
      <c r="D128" s="32"/>
      <c r="E128" s="31"/>
      <c r="F12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8" s="26"/>
      <c r="H128" s="33" t="str">
        <f>IF(Expenses[[#This Row],[Monthly Amount]]&lt;&gt;"",Expenses[[#This Row],[Monthly Amount]]/Income,"")</f>
        <v/>
      </c>
    </row>
    <row r="129" spans="2:8" ht="24" customHeight="1" x14ac:dyDescent="0.45">
      <c r="B129" s="31"/>
      <c r="C129" s="31"/>
      <c r="D129" s="32"/>
      <c r="E129" s="31"/>
      <c r="F12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29" s="26"/>
      <c r="H129" s="33" t="str">
        <f>IF(Expenses[[#This Row],[Monthly Amount]]&lt;&gt;"",Expenses[[#This Row],[Monthly Amount]]/Income,"")</f>
        <v/>
      </c>
    </row>
    <row r="130" spans="2:8" ht="24" customHeight="1" x14ac:dyDescent="0.45">
      <c r="B130" s="31"/>
      <c r="C130" s="31"/>
      <c r="D130" s="32"/>
      <c r="E130" s="31"/>
      <c r="F13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0" s="26"/>
      <c r="H130" s="33" t="str">
        <f>IF(Expenses[[#This Row],[Monthly Amount]]&lt;&gt;"",Expenses[[#This Row],[Monthly Amount]]/Income,"")</f>
        <v/>
      </c>
    </row>
    <row r="131" spans="2:8" ht="24" customHeight="1" x14ac:dyDescent="0.45">
      <c r="B131" s="31"/>
      <c r="C131" s="31"/>
      <c r="D131" s="32"/>
      <c r="E131" s="31"/>
      <c r="F13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1" s="26"/>
      <c r="H131" s="33" t="str">
        <f>IF(Expenses[[#This Row],[Monthly Amount]]&lt;&gt;"",Expenses[[#This Row],[Monthly Amount]]/Income,"")</f>
        <v/>
      </c>
    </row>
    <row r="132" spans="2:8" ht="24" customHeight="1" x14ac:dyDescent="0.45">
      <c r="B132" s="31"/>
      <c r="C132" s="31"/>
      <c r="D132" s="32"/>
      <c r="E132" s="31"/>
      <c r="F13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2" s="26"/>
      <c r="H132" s="33" t="str">
        <f>IF(Expenses[[#This Row],[Monthly Amount]]&lt;&gt;"",Expenses[[#This Row],[Monthly Amount]]/Income,"")</f>
        <v/>
      </c>
    </row>
    <row r="133" spans="2:8" ht="24" customHeight="1" x14ac:dyDescent="0.45">
      <c r="B133" s="31"/>
      <c r="C133" s="31"/>
      <c r="D133" s="32"/>
      <c r="E133" s="31"/>
      <c r="F13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3" s="26"/>
      <c r="H133" s="33" t="str">
        <f>IF(Expenses[[#This Row],[Monthly Amount]]&lt;&gt;"",Expenses[[#This Row],[Monthly Amount]]/Income,"")</f>
        <v/>
      </c>
    </row>
    <row r="134" spans="2:8" ht="24" customHeight="1" x14ac:dyDescent="0.45">
      <c r="B134" s="31"/>
      <c r="C134" s="31"/>
      <c r="D134" s="32"/>
      <c r="E134" s="31"/>
      <c r="F13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4" s="26"/>
      <c r="H134" s="33" t="str">
        <f>IF(Expenses[[#This Row],[Monthly Amount]]&lt;&gt;"",Expenses[[#This Row],[Monthly Amount]]/Income,"")</f>
        <v/>
      </c>
    </row>
    <row r="135" spans="2:8" ht="24" customHeight="1" x14ac:dyDescent="0.45">
      <c r="B135" s="31"/>
      <c r="C135" s="31"/>
      <c r="D135" s="32"/>
      <c r="E135" s="31"/>
      <c r="F13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5" s="26"/>
      <c r="H135" s="33" t="str">
        <f>IF(Expenses[[#This Row],[Monthly Amount]]&lt;&gt;"",Expenses[[#This Row],[Monthly Amount]]/Income,"")</f>
        <v/>
      </c>
    </row>
    <row r="136" spans="2:8" ht="24" customHeight="1" x14ac:dyDescent="0.45">
      <c r="B136" s="31"/>
      <c r="C136" s="31"/>
      <c r="D136" s="32"/>
      <c r="E136" s="31"/>
      <c r="F13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6" s="26"/>
      <c r="H136" s="33" t="str">
        <f>IF(Expenses[[#This Row],[Monthly Amount]]&lt;&gt;"",Expenses[[#This Row],[Monthly Amount]]/Income,"")</f>
        <v/>
      </c>
    </row>
    <row r="137" spans="2:8" ht="24" customHeight="1" x14ac:dyDescent="0.45">
      <c r="B137" s="31"/>
      <c r="C137" s="31"/>
      <c r="D137" s="32"/>
      <c r="E137" s="31"/>
      <c r="F13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7" s="26"/>
      <c r="H137" s="33" t="str">
        <f>IF(Expenses[[#This Row],[Monthly Amount]]&lt;&gt;"",Expenses[[#This Row],[Monthly Amount]]/Income,"")</f>
        <v/>
      </c>
    </row>
    <row r="138" spans="2:8" ht="24" customHeight="1" x14ac:dyDescent="0.45">
      <c r="B138" s="31"/>
      <c r="C138" s="31"/>
      <c r="D138" s="32"/>
      <c r="E138" s="31"/>
      <c r="F13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8" s="26"/>
      <c r="H138" s="33" t="str">
        <f>IF(Expenses[[#This Row],[Monthly Amount]]&lt;&gt;"",Expenses[[#This Row],[Monthly Amount]]/Income,"")</f>
        <v/>
      </c>
    </row>
    <row r="139" spans="2:8" ht="24" customHeight="1" x14ac:dyDescent="0.45">
      <c r="B139" s="31"/>
      <c r="C139" s="31"/>
      <c r="D139" s="32"/>
      <c r="E139" s="31"/>
      <c r="F13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39" s="26"/>
      <c r="H139" s="33" t="str">
        <f>IF(Expenses[[#This Row],[Monthly Amount]]&lt;&gt;"",Expenses[[#This Row],[Monthly Amount]]/Income,"")</f>
        <v/>
      </c>
    </row>
    <row r="140" spans="2:8" ht="24" customHeight="1" x14ac:dyDescent="0.45">
      <c r="B140" s="31"/>
      <c r="C140" s="31"/>
      <c r="D140" s="32"/>
      <c r="E140" s="31"/>
      <c r="F14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0" s="26"/>
      <c r="H140" s="33" t="str">
        <f>IF(Expenses[[#This Row],[Monthly Amount]]&lt;&gt;"",Expenses[[#This Row],[Monthly Amount]]/Income,"")</f>
        <v/>
      </c>
    </row>
    <row r="141" spans="2:8" ht="24" customHeight="1" x14ac:dyDescent="0.45">
      <c r="B141" s="31"/>
      <c r="C141" s="31"/>
      <c r="D141" s="32"/>
      <c r="E141" s="31"/>
      <c r="F14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1" s="26"/>
      <c r="H141" s="33" t="str">
        <f>IF(Expenses[[#This Row],[Monthly Amount]]&lt;&gt;"",Expenses[[#This Row],[Monthly Amount]]/Income,"")</f>
        <v/>
      </c>
    </row>
    <row r="142" spans="2:8" ht="24" customHeight="1" x14ac:dyDescent="0.45">
      <c r="B142" s="31"/>
      <c r="C142" s="31"/>
      <c r="D142" s="32"/>
      <c r="E142" s="31"/>
      <c r="F14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2" s="26"/>
      <c r="H142" s="33" t="str">
        <f>IF(Expenses[[#This Row],[Monthly Amount]]&lt;&gt;"",Expenses[[#This Row],[Monthly Amount]]/Income,"")</f>
        <v/>
      </c>
    </row>
    <row r="143" spans="2:8" ht="24" customHeight="1" x14ac:dyDescent="0.45">
      <c r="B143" s="31"/>
      <c r="C143" s="31"/>
      <c r="D143" s="32"/>
      <c r="E143" s="31"/>
      <c r="F14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3" s="26"/>
      <c r="H143" s="33" t="str">
        <f>IF(Expenses[[#This Row],[Monthly Amount]]&lt;&gt;"",Expenses[[#This Row],[Monthly Amount]]/Income,"")</f>
        <v/>
      </c>
    </row>
    <row r="144" spans="2:8" ht="24" customHeight="1" x14ac:dyDescent="0.45">
      <c r="B144" s="31"/>
      <c r="C144" s="31"/>
      <c r="D144" s="32"/>
      <c r="E144" s="31"/>
      <c r="F14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4" s="26"/>
      <c r="H144" s="33" t="str">
        <f>IF(Expenses[[#This Row],[Monthly Amount]]&lt;&gt;"",Expenses[[#This Row],[Monthly Amount]]/Income,"")</f>
        <v/>
      </c>
    </row>
    <row r="145" spans="2:8" ht="24" customHeight="1" x14ac:dyDescent="0.45">
      <c r="B145" s="31"/>
      <c r="C145" s="31"/>
      <c r="D145" s="32"/>
      <c r="E145" s="31"/>
      <c r="F14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5" s="26"/>
      <c r="H145" s="33" t="str">
        <f>IF(Expenses[[#This Row],[Monthly Amount]]&lt;&gt;"",Expenses[[#This Row],[Monthly Amount]]/Income,"")</f>
        <v/>
      </c>
    </row>
    <row r="146" spans="2:8" ht="24" customHeight="1" x14ac:dyDescent="0.45">
      <c r="B146" s="31"/>
      <c r="C146" s="31"/>
      <c r="D146" s="32"/>
      <c r="E146" s="31"/>
      <c r="F14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6" s="26"/>
      <c r="H146" s="33" t="str">
        <f>IF(Expenses[[#This Row],[Monthly Amount]]&lt;&gt;"",Expenses[[#This Row],[Monthly Amount]]/Income,"")</f>
        <v/>
      </c>
    </row>
    <row r="147" spans="2:8" ht="24" customHeight="1" x14ac:dyDescent="0.45">
      <c r="B147" s="31"/>
      <c r="C147" s="31"/>
      <c r="D147" s="32"/>
      <c r="E147" s="31"/>
      <c r="F14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7" s="26"/>
      <c r="H147" s="33" t="str">
        <f>IF(Expenses[[#This Row],[Monthly Amount]]&lt;&gt;"",Expenses[[#This Row],[Monthly Amount]]/Income,"")</f>
        <v/>
      </c>
    </row>
    <row r="148" spans="2:8" ht="24" customHeight="1" x14ac:dyDescent="0.45">
      <c r="B148" s="31"/>
      <c r="C148" s="31"/>
      <c r="D148" s="32"/>
      <c r="E148" s="31"/>
      <c r="F14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8" s="26"/>
      <c r="H148" s="33" t="str">
        <f>IF(Expenses[[#This Row],[Monthly Amount]]&lt;&gt;"",Expenses[[#This Row],[Monthly Amount]]/Income,"")</f>
        <v/>
      </c>
    </row>
    <row r="149" spans="2:8" ht="24" customHeight="1" x14ac:dyDescent="0.45">
      <c r="B149" s="31"/>
      <c r="C149" s="31"/>
      <c r="D149" s="32"/>
      <c r="E149" s="31"/>
      <c r="F14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49" s="26"/>
      <c r="H149" s="33" t="str">
        <f>IF(Expenses[[#This Row],[Monthly Amount]]&lt;&gt;"",Expenses[[#This Row],[Monthly Amount]]/Income,"")</f>
        <v/>
      </c>
    </row>
    <row r="150" spans="2:8" ht="24" customHeight="1" x14ac:dyDescent="0.45">
      <c r="B150" s="31"/>
      <c r="C150" s="31"/>
      <c r="D150" s="32"/>
      <c r="E150" s="31"/>
      <c r="F15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0" s="26"/>
      <c r="H150" s="33" t="str">
        <f>IF(Expenses[[#This Row],[Monthly Amount]]&lt;&gt;"",Expenses[[#This Row],[Monthly Amount]]/Income,"")</f>
        <v/>
      </c>
    </row>
    <row r="151" spans="2:8" ht="24" customHeight="1" x14ac:dyDescent="0.45">
      <c r="B151" s="31"/>
      <c r="C151" s="31"/>
      <c r="D151" s="32"/>
      <c r="E151" s="31"/>
      <c r="F15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1" s="26"/>
      <c r="H151" s="33" t="str">
        <f>IF(Expenses[[#This Row],[Monthly Amount]]&lt;&gt;"",Expenses[[#This Row],[Monthly Amount]]/Income,"")</f>
        <v/>
      </c>
    </row>
    <row r="152" spans="2:8" ht="24" customHeight="1" x14ac:dyDescent="0.45">
      <c r="B152" s="31"/>
      <c r="C152" s="31"/>
      <c r="D152" s="32"/>
      <c r="E152" s="31"/>
      <c r="F15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2" s="26"/>
      <c r="H152" s="33" t="str">
        <f>IF(Expenses[[#This Row],[Monthly Amount]]&lt;&gt;"",Expenses[[#This Row],[Monthly Amount]]/Income,"")</f>
        <v/>
      </c>
    </row>
    <row r="153" spans="2:8" ht="24" customHeight="1" x14ac:dyDescent="0.45">
      <c r="B153" s="31"/>
      <c r="C153" s="31"/>
      <c r="D153" s="32"/>
      <c r="E153" s="31"/>
      <c r="F15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3" s="26"/>
      <c r="H153" s="33" t="str">
        <f>IF(Expenses[[#This Row],[Monthly Amount]]&lt;&gt;"",Expenses[[#This Row],[Monthly Amount]]/Income,"")</f>
        <v/>
      </c>
    </row>
    <row r="154" spans="2:8" ht="24" customHeight="1" x14ac:dyDescent="0.45">
      <c r="B154" s="31"/>
      <c r="C154" s="31"/>
      <c r="D154" s="32"/>
      <c r="E154" s="31"/>
      <c r="F15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4" s="26"/>
      <c r="H154" s="33" t="str">
        <f>IF(Expenses[[#This Row],[Monthly Amount]]&lt;&gt;"",Expenses[[#This Row],[Monthly Amount]]/Income,"")</f>
        <v/>
      </c>
    </row>
    <row r="155" spans="2:8" ht="24" customHeight="1" x14ac:dyDescent="0.45">
      <c r="B155" s="31"/>
      <c r="C155" s="31"/>
      <c r="D155" s="32"/>
      <c r="E155" s="31"/>
      <c r="F15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5" s="26"/>
      <c r="H155" s="33" t="str">
        <f>IF(Expenses[[#This Row],[Monthly Amount]]&lt;&gt;"",Expenses[[#This Row],[Monthly Amount]]/Income,"")</f>
        <v/>
      </c>
    </row>
    <row r="156" spans="2:8" ht="24" customHeight="1" x14ac:dyDescent="0.45">
      <c r="B156" s="31"/>
      <c r="C156" s="31"/>
      <c r="D156" s="32"/>
      <c r="E156" s="31"/>
      <c r="F15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6" s="26"/>
      <c r="H156" s="33" t="str">
        <f>IF(Expenses[[#This Row],[Monthly Amount]]&lt;&gt;"",Expenses[[#This Row],[Monthly Amount]]/Income,"")</f>
        <v/>
      </c>
    </row>
    <row r="157" spans="2:8" ht="24" customHeight="1" x14ac:dyDescent="0.45">
      <c r="B157" s="31"/>
      <c r="C157" s="31"/>
      <c r="D157" s="32"/>
      <c r="E157" s="31"/>
      <c r="F15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7" s="26"/>
      <c r="H157" s="33" t="str">
        <f>IF(Expenses[[#This Row],[Monthly Amount]]&lt;&gt;"",Expenses[[#This Row],[Monthly Amount]]/Income,"")</f>
        <v/>
      </c>
    </row>
    <row r="158" spans="2:8" ht="24" customHeight="1" x14ac:dyDescent="0.45">
      <c r="B158" s="31"/>
      <c r="C158" s="31"/>
      <c r="D158" s="32"/>
      <c r="E158" s="31"/>
      <c r="F15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8" s="26"/>
      <c r="H158" s="33" t="str">
        <f>IF(Expenses[[#This Row],[Monthly Amount]]&lt;&gt;"",Expenses[[#This Row],[Monthly Amount]]/Income,"")</f>
        <v/>
      </c>
    </row>
    <row r="159" spans="2:8" ht="24" customHeight="1" x14ac:dyDescent="0.45">
      <c r="B159" s="31"/>
      <c r="C159" s="31"/>
      <c r="D159" s="32"/>
      <c r="E159" s="31"/>
      <c r="F15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59" s="26"/>
      <c r="H159" s="33" t="str">
        <f>IF(Expenses[[#This Row],[Monthly Amount]]&lt;&gt;"",Expenses[[#This Row],[Monthly Amount]]/Income,"")</f>
        <v/>
      </c>
    </row>
    <row r="160" spans="2:8" ht="24" customHeight="1" x14ac:dyDescent="0.45">
      <c r="B160" s="31"/>
      <c r="C160" s="31"/>
      <c r="D160" s="32"/>
      <c r="E160" s="31"/>
      <c r="F16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0" s="26"/>
      <c r="H160" s="33" t="str">
        <f>IF(Expenses[[#This Row],[Monthly Amount]]&lt;&gt;"",Expenses[[#This Row],[Monthly Amount]]/Income,"")</f>
        <v/>
      </c>
    </row>
    <row r="161" spans="2:8" ht="24" customHeight="1" x14ac:dyDescent="0.45">
      <c r="B161" s="31"/>
      <c r="C161" s="31"/>
      <c r="D161" s="32"/>
      <c r="E161" s="31"/>
      <c r="F16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1" s="26"/>
      <c r="H161" s="33" t="str">
        <f>IF(Expenses[[#This Row],[Monthly Amount]]&lt;&gt;"",Expenses[[#This Row],[Monthly Amount]]/Income,"")</f>
        <v/>
      </c>
    </row>
    <row r="162" spans="2:8" ht="24" customHeight="1" x14ac:dyDescent="0.45">
      <c r="B162" s="31"/>
      <c r="C162" s="31"/>
      <c r="D162" s="32"/>
      <c r="E162" s="31"/>
      <c r="F16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2" s="26"/>
      <c r="H162" s="33" t="str">
        <f>IF(Expenses[[#This Row],[Monthly Amount]]&lt;&gt;"",Expenses[[#This Row],[Monthly Amount]]/Income,"")</f>
        <v/>
      </c>
    </row>
    <row r="163" spans="2:8" ht="24" customHeight="1" x14ac:dyDescent="0.45">
      <c r="B163" s="31"/>
      <c r="C163" s="31"/>
      <c r="D163" s="32"/>
      <c r="E163" s="31"/>
      <c r="F16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3" s="26"/>
      <c r="H163" s="33" t="str">
        <f>IF(Expenses[[#This Row],[Monthly Amount]]&lt;&gt;"",Expenses[[#This Row],[Monthly Amount]]/Income,"")</f>
        <v/>
      </c>
    </row>
    <row r="164" spans="2:8" ht="24" customHeight="1" x14ac:dyDescent="0.45">
      <c r="B164" s="31"/>
      <c r="C164" s="31"/>
      <c r="D164" s="32"/>
      <c r="E164" s="31"/>
      <c r="F16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4" s="26"/>
      <c r="H164" s="33" t="str">
        <f>IF(Expenses[[#This Row],[Monthly Amount]]&lt;&gt;"",Expenses[[#This Row],[Monthly Amount]]/Income,"")</f>
        <v/>
      </c>
    </row>
    <row r="165" spans="2:8" ht="24" customHeight="1" x14ac:dyDescent="0.45">
      <c r="B165" s="31"/>
      <c r="C165" s="31"/>
      <c r="D165" s="32"/>
      <c r="E165" s="31"/>
      <c r="F16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5" s="26"/>
      <c r="H165" s="33" t="str">
        <f>IF(Expenses[[#This Row],[Monthly Amount]]&lt;&gt;"",Expenses[[#This Row],[Monthly Amount]]/Income,"")</f>
        <v/>
      </c>
    </row>
    <row r="166" spans="2:8" ht="24" customHeight="1" x14ac:dyDescent="0.45">
      <c r="B166" s="31"/>
      <c r="C166" s="31"/>
      <c r="D166" s="32"/>
      <c r="E166" s="31"/>
      <c r="F16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6" s="26"/>
      <c r="H166" s="33" t="str">
        <f>IF(Expenses[[#This Row],[Monthly Amount]]&lt;&gt;"",Expenses[[#This Row],[Monthly Amount]]/Income,"")</f>
        <v/>
      </c>
    </row>
    <row r="167" spans="2:8" ht="24" customHeight="1" x14ac:dyDescent="0.45">
      <c r="B167" s="31"/>
      <c r="C167" s="31"/>
      <c r="D167" s="32"/>
      <c r="E167" s="31"/>
      <c r="F16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7" s="26"/>
      <c r="H167" s="33" t="str">
        <f>IF(Expenses[[#This Row],[Monthly Amount]]&lt;&gt;"",Expenses[[#This Row],[Monthly Amount]]/Income,"")</f>
        <v/>
      </c>
    </row>
    <row r="168" spans="2:8" ht="24" customHeight="1" x14ac:dyDescent="0.45">
      <c r="B168" s="31"/>
      <c r="C168" s="31"/>
      <c r="D168" s="32"/>
      <c r="E168" s="31"/>
      <c r="F16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8" s="26"/>
      <c r="H168" s="33" t="str">
        <f>IF(Expenses[[#This Row],[Monthly Amount]]&lt;&gt;"",Expenses[[#This Row],[Monthly Amount]]/Income,"")</f>
        <v/>
      </c>
    </row>
    <row r="169" spans="2:8" ht="24" customHeight="1" x14ac:dyDescent="0.45">
      <c r="B169" s="31"/>
      <c r="C169" s="31"/>
      <c r="D169" s="32"/>
      <c r="E169" s="31"/>
      <c r="F16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69" s="26"/>
      <c r="H169" s="33" t="str">
        <f>IF(Expenses[[#This Row],[Monthly Amount]]&lt;&gt;"",Expenses[[#This Row],[Monthly Amount]]/Income,"")</f>
        <v/>
      </c>
    </row>
    <row r="170" spans="2:8" ht="24" customHeight="1" x14ac:dyDescent="0.45">
      <c r="B170" s="31"/>
      <c r="C170" s="31"/>
      <c r="D170" s="32"/>
      <c r="E170" s="31"/>
      <c r="F17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0" s="26"/>
      <c r="H170" s="33" t="str">
        <f>IF(Expenses[[#This Row],[Monthly Amount]]&lt;&gt;"",Expenses[[#This Row],[Monthly Amount]]/Income,"")</f>
        <v/>
      </c>
    </row>
    <row r="171" spans="2:8" ht="24" customHeight="1" x14ac:dyDescent="0.45">
      <c r="B171" s="31"/>
      <c r="C171" s="31"/>
      <c r="D171" s="32"/>
      <c r="E171" s="31"/>
      <c r="F17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1" s="26"/>
      <c r="H171" s="33" t="str">
        <f>IF(Expenses[[#This Row],[Monthly Amount]]&lt;&gt;"",Expenses[[#This Row],[Monthly Amount]]/Income,"")</f>
        <v/>
      </c>
    </row>
    <row r="172" spans="2:8" ht="24" customHeight="1" x14ac:dyDescent="0.45">
      <c r="B172" s="31"/>
      <c r="C172" s="31"/>
      <c r="D172" s="32"/>
      <c r="E172" s="31"/>
      <c r="F17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2" s="26"/>
      <c r="H172" s="33" t="str">
        <f>IF(Expenses[[#This Row],[Monthly Amount]]&lt;&gt;"",Expenses[[#This Row],[Monthly Amount]]/Income,"")</f>
        <v/>
      </c>
    </row>
    <row r="173" spans="2:8" ht="24" customHeight="1" x14ac:dyDescent="0.45">
      <c r="B173" s="31"/>
      <c r="C173" s="31"/>
      <c r="D173" s="32"/>
      <c r="E173" s="31"/>
      <c r="F17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3" s="26"/>
      <c r="H173" s="33" t="str">
        <f>IF(Expenses[[#This Row],[Monthly Amount]]&lt;&gt;"",Expenses[[#This Row],[Monthly Amount]]/Income,"")</f>
        <v/>
      </c>
    </row>
    <row r="174" spans="2:8" ht="24" customHeight="1" x14ac:dyDescent="0.45">
      <c r="B174" s="31"/>
      <c r="C174" s="31"/>
      <c r="D174" s="32"/>
      <c r="E174" s="31"/>
      <c r="F17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4" s="26"/>
      <c r="H174" s="33" t="str">
        <f>IF(Expenses[[#This Row],[Monthly Amount]]&lt;&gt;"",Expenses[[#This Row],[Monthly Amount]]/Income,"")</f>
        <v/>
      </c>
    </row>
    <row r="175" spans="2:8" ht="24" customHeight="1" x14ac:dyDescent="0.45">
      <c r="B175" s="31"/>
      <c r="C175" s="31"/>
      <c r="D175" s="32"/>
      <c r="E175" s="31"/>
      <c r="F17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5" s="26"/>
      <c r="H175" s="33" t="str">
        <f>IF(Expenses[[#This Row],[Monthly Amount]]&lt;&gt;"",Expenses[[#This Row],[Monthly Amount]]/Income,"")</f>
        <v/>
      </c>
    </row>
    <row r="176" spans="2:8" ht="24" customHeight="1" x14ac:dyDescent="0.45">
      <c r="B176" s="31"/>
      <c r="C176" s="31"/>
      <c r="D176" s="32"/>
      <c r="E176" s="31"/>
      <c r="F17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6" s="26"/>
      <c r="H176" s="33" t="str">
        <f>IF(Expenses[[#This Row],[Monthly Amount]]&lt;&gt;"",Expenses[[#This Row],[Monthly Amount]]/Income,"")</f>
        <v/>
      </c>
    </row>
    <row r="177" spans="2:8" ht="24" customHeight="1" x14ac:dyDescent="0.45">
      <c r="B177" s="31"/>
      <c r="C177" s="31"/>
      <c r="D177" s="32"/>
      <c r="E177" s="31"/>
      <c r="F17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7" s="26"/>
      <c r="H177" s="33" t="str">
        <f>IF(Expenses[[#This Row],[Monthly Amount]]&lt;&gt;"",Expenses[[#This Row],[Monthly Amount]]/Income,"")</f>
        <v/>
      </c>
    </row>
    <row r="178" spans="2:8" ht="24" customHeight="1" x14ac:dyDescent="0.45">
      <c r="B178" s="31"/>
      <c r="C178" s="31"/>
      <c r="D178" s="32"/>
      <c r="E178" s="31"/>
      <c r="F17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8" s="26"/>
      <c r="H178" s="33" t="str">
        <f>IF(Expenses[[#This Row],[Monthly Amount]]&lt;&gt;"",Expenses[[#This Row],[Monthly Amount]]/Income,"")</f>
        <v/>
      </c>
    </row>
    <row r="179" spans="2:8" ht="24" customHeight="1" x14ac:dyDescent="0.45">
      <c r="B179" s="31"/>
      <c r="C179" s="31"/>
      <c r="D179" s="32"/>
      <c r="E179" s="31"/>
      <c r="F17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79" s="26"/>
      <c r="H179" s="33" t="str">
        <f>IF(Expenses[[#This Row],[Monthly Amount]]&lt;&gt;"",Expenses[[#This Row],[Monthly Amount]]/Income,"")</f>
        <v/>
      </c>
    </row>
    <row r="180" spans="2:8" ht="24" customHeight="1" x14ac:dyDescent="0.45">
      <c r="B180" s="31"/>
      <c r="C180" s="31"/>
      <c r="D180" s="32"/>
      <c r="E180" s="31"/>
      <c r="F18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0" s="26"/>
      <c r="H180" s="33" t="str">
        <f>IF(Expenses[[#This Row],[Monthly Amount]]&lt;&gt;"",Expenses[[#This Row],[Monthly Amount]]/Income,"")</f>
        <v/>
      </c>
    </row>
    <row r="181" spans="2:8" ht="24" customHeight="1" x14ac:dyDescent="0.45">
      <c r="B181" s="31"/>
      <c r="C181" s="31"/>
      <c r="D181" s="32"/>
      <c r="E181" s="31"/>
      <c r="F18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1" s="26"/>
      <c r="H181" s="33" t="str">
        <f>IF(Expenses[[#This Row],[Monthly Amount]]&lt;&gt;"",Expenses[[#This Row],[Monthly Amount]]/Income,"")</f>
        <v/>
      </c>
    </row>
    <row r="182" spans="2:8" ht="24" customHeight="1" x14ac:dyDescent="0.45">
      <c r="B182" s="31"/>
      <c r="C182" s="31"/>
      <c r="D182" s="32"/>
      <c r="E182" s="31"/>
      <c r="F18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2" s="26"/>
      <c r="H182" s="33" t="str">
        <f>IF(Expenses[[#This Row],[Monthly Amount]]&lt;&gt;"",Expenses[[#This Row],[Monthly Amount]]/Income,"")</f>
        <v/>
      </c>
    </row>
    <row r="183" spans="2:8" ht="24" customHeight="1" x14ac:dyDescent="0.45">
      <c r="B183" s="31"/>
      <c r="C183" s="31"/>
      <c r="D183" s="32"/>
      <c r="E183" s="31"/>
      <c r="F18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3" s="26"/>
      <c r="H183" s="33" t="str">
        <f>IF(Expenses[[#This Row],[Monthly Amount]]&lt;&gt;"",Expenses[[#This Row],[Monthly Amount]]/Income,"")</f>
        <v/>
      </c>
    </row>
    <row r="184" spans="2:8" ht="24" customHeight="1" x14ac:dyDescent="0.45">
      <c r="B184" s="31"/>
      <c r="C184" s="31"/>
      <c r="D184" s="32"/>
      <c r="E184" s="31"/>
      <c r="F18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4" s="26"/>
      <c r="H184" s="33" t="str">
        <f>IF(Expenses[[#This Row],[Monthly Amount]]&lt;&gt;"",Expenses[[#This Row],[Monthly Amount]]/Income,"")</f>
        <v/>
      </c>
    </row>
    <row r="185" spans="2:8" ht="24" customHeight="1" x14ac:dyDescent="0.45">
      <c r="B185" s="31"/>
      <c r="C185" s="31"/>
      <c r="D185" s="32"/>
      <c r="E185" s="31"/>
      <c r="F18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5" s="26"/>
      <c r="H185" s="33" t="str">
        <f>IF(Expenses[[#This Row],[Monthly Amount]]&lt;&gt;"",Expenses[[#This Row],[Monthly Amount]]/Income,"")</f>
        <v/>
      </c>
    </row>
    <row r="186" spans="2:8" ht="24" customHeight="1" x14ac:dyDescent="0.45">
      <c r="B186" s="31"/>
      <c r="C186" s="31"/>
      <c r="D186" s="32"/>
      <c r="E186" s="31"/>
      <c r="F18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6" s="26"/>
      <c r="H186" s="33" t="str">
        <f>IF(Expenses[[#This Row],[Monthly Amount]]&lt;&gt;"",Expenses[[#This Row],[Monthly Amount]]/Income,"")</f>
        <v/>
      </c>
    </row>
    <row r="187" spans="2:8" ht="24" customHeight="1" x14ac:dyDescent="0.45">
      <c r="B187" s="31"/>
      <c r="C187" s="31"/>
      <c r="D187" s="32"/>
      <c r="E187" s="31"/>
      <c r="F18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7" s="26"/>
      <c r="H187" s="33" t="str">
        <f>IF(Expenses[[#This Row],[Monthly Amount]]&lt;&gt;"",Expenses[[#This Row],[Monthly Amount]]/Income,"")</f>
        <v/>
      </c>
    </row>
    <row r="188" spans="2:8" ht="24" customHeight="1" x14ac:dyDescent="0.45">
      <c r="B188" s="31"/>
      <c r="C188" s="31"/>
      <c r="D188" s="32"/>
      <c r="E188" s="31"/>
      <c r="F18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8" s="26"/>
      <c r="H188" s="33" t="str">
        <f>IF(Expenses[[#This Row],[Monthly Amount]]&lt;&gt;"",Expenses[[#This Row],[Monthly Amount]]/Income,"")</f>
        <v/>
      </c>
    </row>
    <row r="189" spans="2:8" ht="24" customHeight="1" x14ac:dyDescent="0.45">
      <c r="B189" s="31"/>
      <c r="C189" s="31"/>
      <c r="D189" s="32"/>
      <c r="E189" s="31"/>
      <c r="F18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89" s="26"/>
      <c r="H189" s="33" t="str">
        <f>IF(Expenses[[#This Row],[Monthly Amount]]&lt;&gt;"",Expenses[[#This Row],[Monthly Amount]]/Income,"")</f>
        <v/>
      </c>
    </row>
    <row r="190" spans="2:8" ht="24" customHeight="1" x14ac:dyDescent="0.45">
      <c r="B190" s="31"/>
      <c r="C190" s="31"/>
      <c r="D190" s="32"/>
      <c r="E190" s="31"/>
      <c r="F19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0" s="26"/>
      <c r="H190" s="33" t="str">
        <f>IF(Expenses[[#This Row],[Monthly Amount]]&lt;&gt;"",Expenses[[#This Row],[Monthly Amount]]/Income,"")</f>
        <v/>
      </c>
    </row>
    <row r="191" spans="2:8" ht="24" customHeight="1" x14ac:dyDescent="0.45">
      <c r="B191" s="31"/>
      <c r="C191" s="31"/>
      <c r="D191" s="32"/>
      <c r="E191" s="31"/>
      <c r="F19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1" s="26"/>
      <c r="H191" s="33" t="str">
        <f>IF(Expenses[[#This Row],[Monthly Amount]]&lt;&gt;"",Expenses[[#This Row],[Monthly Amount]]/Income,"")</f>
        <v/>
      </c>
    </row>
    <row r="192" spans="2:8" ht="24" customHeight="1" x14ac:dyDescent="0.45">
      <c r="B192" s="31"/>
      <c r="C192" s="31"/>
      <c r="D192" s="32"/>
      <c r="E192" s="31"/>
      <c r="F19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2" s="26"/>
      <c r="H192" s="33" t="str">
        <f>IF(Expenses[[#This Row],[Monthly Amount]]&lt;&gt;"",Expenses[[#This Row],[Monthly Amount]]/Income,"")</f>
        <v/>
      </c>
    </row>
    <row r="193" spans="2:8" ht="24" customHeight="1" x14ac:dyDescent="0.45">
      <c r="B193" s="31"/>
      <c r="C193" s="31"/>
      <c r="D193" s="32"/>
      <c r="E193" s="31"/>
      <c r="F19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3" s="26"/>
      <c r="H193" s="33" t="str">
        <f>IF(Expenses[[#This Row],[Monthly Amount]]&lt;&gt;"",Expenses[[#This Row],[Monthly Amount]]/Income,"")</f>
        <v/>
      </c>
    </row>
    <row r="194" spans="2:8" ht="24" customHeight="1" x14ac:dyDescent="0.45">
      <c r="B194" s="31"/>
      <c r="C194" s="31"/>
      <c r="D194" s="32"/>
      <c r="E194" s="31"/>
      <c r="F19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4" s="26"/>
      <c r="H194" s="33" t="str">
        <f>IF(Expenses[[#This Row],[Monthly Amount]]&lt;&gt;"",Expenses[[#This Row],[Monthly Amount]]/Income,"")</f>
        <v/>
      </c>
    </row>
    <row r="195" spans="2:8" ht="24" customHeight="1" x14ac:dyDescent="0.45">
      <c r="B195" s="31"/>
      <c r="C195" s="31"/>
      <c r="D195" s="32"/>
      <c r="E195" s="31"/>
      <c r="F19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5" s="26"/>
      <c r="H195" s="33" t="str">
        <f>IF(Expenses[[#This Row],[Monthly Amount]]&lt;&gt;"",Expenses[[#This Row],[Monthly Amount]]/Income,"")</f>
        <v/>
      </c>
    </row>
    <row r="196" spans="2:8" ht="24" customHeight="1" x14ac:dyDescent="0.45">
      <c r="B196" s="31"/>
      <c r="C196" s="31"/>
      <c r="D196" s="32"/>
      <c r="E196" s="31"/>
      <c r="F19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6" s="26"/>
      <c r="H196" s="33" t="str">
        <f>IF(Expenses[[#This Row],[Monthly Amount]]&lt;&gt;"",Expenses[[#This Row],[Monthly Amount]]/Income,"")</f>
        <v/>
      </c>
    </row>
    <row r="197" spans="2:8" ht="24" customHeight="1" x14ac:dyDescent="0.45">
      <c r="B197" s="31"/>
      <c r="C197" s="31"/>
      <c r="D197" s="32"/>
      <c r="E197" s="31"/>
      <c r="F19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7" s="26"/>
      <c r="H197" s="33" t="str">
        <f>IF(Expenses[[#This Row],[Monthly Amount]]&lt;&gt;"",Expenses[[#This Row],[Monthly Amount]]/Income,"")</f>
        <v/>
      </c>
    </row>
    <row r="198" spans="2:8" ht="24" customHeight="1" x14ac:dyDescent="0.45">
      <c r="B198" s="31"/>
      <c r="C198" s="31"/>
      <c r="D198" s="32"/>
      <c r="E198" s="31"/>
      <c r="F19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8" s="26"/>
      <c r="H198" s="33" t="str">
        <f>IF(Expenses[[#This Row],[Monthly Amount]]&lt;&gt;"",Expenses[[#This Row],[Monthly Amount]]/Income,"")</f>
        <v/>
      </c>
    </row>
    <row r="199" spans="2:8" ht="24" customHeight="1" x14ac:dyDescent="0.45">
      <c r="B199" s="31"/>
      <c r="C199" s="31"/>
      <c r="D199" s="32"/>
      <c r="E199" s="31"/>
      <c r="F19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199" s="26"/>
      <c r="H199" s="33" t="str">
        <f>IF(Expenses[[#This Row],[Monthly Amount]]&lt;&gt;"",Expenses[[#This Row],[Monthly Amount]]/Income,"")</f>
        <v/>
      </c>
    </row>
    <row r="200" spans="2:8" ht="24" customHeight="1" x14ac:dyDescent="0.45">
      <c r="B200" s="31"/>
      <c r="C200" s="31"/>
      <c r="D200" s="32"/>
      <c r="E200" s="31"/>
      <c r="F20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0" s="26"/>
      <c r="H200" s="33" t="str">
        <f>IF(Expenses[[#This Row],[Monthly Amount]]&lt;&gt;"",Expenses[[#This Row],[Monthly Amount]]/Income,"")</f>
        <v/>
      </c>
    </row>
    <row r="201" spans="2:8" ht="24" customHeight="1" x14ac:dyDescent="0.45">
      <c r="B201" s="31"/>
      <c r="C201" s="31"/>
      <c r="D201" s="32"/>
      <c r="E201" s="31"/>
      <c r="F20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1" s="26"/>
      <c r="H201" s="33" t="str">
        <f>IF(Expenses[[#This Row],[Monthly Amount]]&lt;&gt;"",Expenses[[#This Row],[Monthly Amount]]/Income,"")</f>
        <v/>
      </c>
    </row>
    <row r="202" spans="2:8" ht="24" customHeight="1" x14ac:dyDescent="0.45">
      <c r="B202" s="31"/>
      <c r="C202" s="31"/>
      <c r="D202" s="32"/>
      <c r="E202" s="31"/>
      <c r="F20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2" s="26"/>
      <c r="H202" s="33" t="str">
        <f>IF(Expenses[[#This Row],[Monthly Amount]]&lt;&gt;"",Expenses[[#This Row],[Monthly Amount]]/Income,"")</f>
        <v/>
      </c>
    </row>
    <row r="203" spans="2:8" ht="24" customHeight="1" x14ac:dyDescent="0.45">
      <c r="B203" s="31"/>
      <c r="C203" s="31"/>
      <c r="D203" s="32"/>
      <c r="E203" s="31"/>
      <c r="F20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3" s="26"/>
      <c r="H203" s="33" t="str">
        <f>IF(Expenses[[#This Row],[Monthly Amount]]&lt;&gt;"",Expenses[[#This Row],[Monthly Amount]]/Income,"")</f>
        <v/>
      </c>
    </row>
    <row r="204" spans="2:8" ht="24" customHeight="1" x14ac:dyDescent="0.45">
      <c r="B204" s="31"/>
      <c r="C204" s="31"/>
      <c r="D204" s="32"/>
      <c r="E204" s="31"/>
      <c r="F20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4" s="26"/>
      <c r="H204" s="33" t="str">
        <f>IF(Expenses[[#This Row],[Monthly Amount]]&lt;&gt;"",Expenses[[#This Row],[Monthly Amount]]/Income,"")</f>
        <v/>
      </c>
    </row>
    <row r="205" spans="2:8" ht="24" customHeight="1" x14ac:dyDescent="0.45">
      <c r="B205" s="31"/>
      <c r="C205" s="31"/>
      <c r="D205" s="32"/>
      <c r="E205" s="31"/>
      <c r="F20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5" s="26"/>
      <c r="H205" s="33" t="str">
        <f>IF(Expenses[[#This Row],[Monthly Amount]]&lt;&gt;"",Expenses[[#This Row],[Monthly Amount]]/Income,"")</f>
        <v/>
      </c>
    </row>
    <row r="206" spans="2:8" ht="24" customHeight="1" x14ac:dyDescent="0.45">
      <c r="B206" s="31"/>
      <c r="C206" s="31"/>
      <c r="D206" s="32"/>
      <c r="E206" s="31"/>
      <c r="F20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6" s="26"/>
      <c r="H206" s="33" t="str">
        <f>IF(Expenses[[#This Row],[Monthly Amount]]&lt;&gt;"",Expenses[[#This Row],[Monthly Amount]]/Income,"")</f>
        <v/>
      </c>
    </row>
    <row r="207" spans="2:8" ht="24" customHeight="1" x14ac:dyDescent="0.45">
      <c r="B207" s="31"/>
      <c r="C207" s="31"/>
      <c r="D207" s="32"/>
      <c r="E207" s="31"/>
      <c r="F20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7" s="26"/>
      <c r="H207" s="33" t="str">
        <f>IF(Expenses[[#This Row],[Monthly Amount]]&lt;&gt;"",Expenses[[#This Row],[Monthly Amount]]/Income,"")</f>
        <v/>
      </c>
    </row>
    <row r="208" spans="2:8" ht="24" customHeight="1" x14ac:dyDescent="0.45">
      <c r="B208" s="31"/>
      <c r="C208" s="31"/>
      <c r="D208" s="32"/>
      <c r="E208" s="31"/>
      <c r="F20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8" s="26"/>
      <c r="H208" s="33" t="str">
        <f>IF(Expenses[[#This Row],[Monthly Amount]]&lt;&gt;"",Expenses[[#This Row],[Monthly Amount]]/Income,"")</f>
        <v/>
      </c>
    </row>
    <row r="209" spans="2:8" ht="24" customHeight="1" x14ac:dyDescent="0.45">
      <c r="B209" s="31"/>
      <c r="C209" s="31"/>
      <c r="D209" s="32"/>
      <c r="E209" s="31"/>
      <c r="F20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09" s="26"/>
      <c r="H209" s="33" t="str">
        <f>IF(Expenses[[#This Row],[Monthly Amount]]&lt;&gt;"",Expenses[[#This Row],[Monthly Amount]]/Income,"")</f>
        <v/>
      </c>
    </row>
    <row r="210" spans="2:8" ht="24" customHeight="1" x14ac:dyDescent="0.45">
      <c r="B210" s="31"/>
      <c r="C210" s="31"/>
      <c r="D210" s="32"/>
      <c r="E210" s="31"/>
      <c r="F21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0" s="26"/>
      <c r="H210" s="33" t="str">
        <f>IF(Expenses[[#This Row],[Monthly Amount]]&lt;&gt;"",Expenses[[#This Row],[Monthly Amount]]/Income,"")</f>
        <v/>
      </c>
    </row>
    <row r="211" spans="2:8" ht="24" customHeight="1" x14ac:dyDescent="0.45">
      <c r="B211" s="31"/>
      <c r="C211" s="31"/>
      <c r="D211" s="32"/>
      <c r="E211" s="31"/>
      <c r="F21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1" s="26"/>
      <c r="H211" s="33" t="str">
        <f>IF(Expenses[[#This Row],[Monthly Amount]]&lt;&gt;"",Expenses[[#This Row],[Monthly Amount]]/Income,"")</f>
        <v/>
      </c>
    </row>
    <row r="212" spans="2:8" ht="24" customHeight="1" x14ac:dyDescent="0.45">
      <c r="B212" s="31"/>
      <c r="C212" s="31"/>
      <c r="D212" s="32"/>
      <c r="E212" s="31"/>
      <c r="F21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2" s="26"/>
      <c r="H212" s="33" t="str">
        <f>IF(Expenses[[#This Row],[Monthly Amount]]&lt;&gt;"",Expenses[[#This Row],[Monthly Amount]]/Income,"")</f>
        <v/>
      </c>
    </row>
    <row r="213" spans="2:8" ht="24" customHeight="1" x14ac:dyDescent="0.45">
      <c r="B213" s="31"/>
      <c r="C213" s="31"/>
      <c r="D213" s="32"/>
      <c r="E213" s="31"/>
      <c r="F21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3" s="26"/>
      <c r="H213" s="33" t="str">
        <f>IF(Expenses[[#This Row],[Monthly Amount]]&lt;&gt;"",Expenses[[#This Row],[Monthly Amount]]/Income,"")</f>
        <v/>
      </c>
    </row>
    <row r="214" spans="2:8" ht="24" customHeight="1" x14ac:dyDescent="0.45">
      <c r="B214" s="31"/>
      <c r="C214" s="31"/>
      <c r="D214" s="32"/>
      <c r="E214" s="31"/>
      <c r="F21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4" s="26"/>
      <c r="H214" s="33" t="str">
        <f>IF(Expenses[[#This Row],[Monthly Amount]]&lt;&gt;"",Expenses[[#This Row],[Monthly Amount]]/Income,"")</f>
        <v/>
      </c>
    </row>
    <row r="215" spans="2:8" ht="24" customHeight="1" x14ac:dyDescent="0.45">
      <c r="B215" s="31"/>
      <c r="C215" s="31"/>
      <c r="D215" s="32"/>
      <c r="E215" s="31"/>
      <c r="F21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5" s="26"/>
      <c r="H215" s="33" t="str">
        <f>IF(Expenses[[#This Row],[Monthly Amount]]&lt;&gt;"",Expenses[[#This Row],[Monthly Amount]]/Income,"")</f>
        <v/>
      </c>
    </row>
    <row r="216" spans="2:8" ht="24" customHeight="1" x14ac:dyDescent="0.45">
      <c r="B216" s="31"/>
      <c r="C216" s="31"/>
      <c r="D216" s="32"/>
      <c r="E216" s="31"/>
      <c r="F21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6" s="26"/>
      <c r="H216" s="33" t="str">
        <f>IF(Expenses[[#This Row],[Monthly Amount]]&lt;&gt;"",Expenses[[#This Row],[Monthly Amount]]/Income,"")</f>
        <v/>
      </c>
    </row>
    <row r="217" spans="2:8" ht="24" customHeight="1" x14ac:dyDescent="0.45">
      <c r="B217" s="31"/>
      <c r="C217" s="31"/>
      <c r="D217" s="32"/>
      <c r="E217" s="31"/>
      <c r="F21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7" s="26"/>
      <c r="H217" s="33" t="str">
        <f>IF(Expenses[[#This Row],[Monthly Amount]]&lt;&gt;"",Expenses[[#This Row],[Monthly Amount]]/Income,"")</f>
        <v/>
      </c>
    </row>
    <row r="218" spans="2:8" ht="24" customHeight="1" x14ac:dyDescent="0.45">
      <c r="B218" s="31"/>
      <c r="C218" s="31"/>
      <c r="D218" s="32"/>
      <c r="E218" s="31"/>
      <c r="F21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8" s="26"/>
      <c r="H218" s="33" t="str">
        <f>IF(Expenses[[#This Row],[Monthly Amount]]&lt;&gt;"",Expenses[[#This Row],[Monthly Amount]]/Income,"")</f>
        <v/>
      </c>
    </row>
    <row r="219" spans="2:8" ht="24" customHeight="1" x14ac:dyDescent="0.45">
      <c r="B219" s="31"/>
      <c r="C219" s="31"/>
      <c r="D219" s="32"/>
      <c r="E219" s="31"/>
      <c r="F21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19" s="26"/>
      <c r="H219" s="33" t="str">
        <f>IF(Expenses[[#This Row],[Monthly Amount]]&lt;&gt;"",Expenses[[#This Row],[Monthly Amount]]/Income,"")</f>
        <v/>
      </c>
    </row>
    <row r="220" spans="2:8" ht="24" customHeight="1" x14ac:dyDescent="0.45">
      <c r="B220" s="31"/>
      <c r="C220" s="31"/>
      <c r="D220" s="32"/>
      <c r="E220" s="31"/>
      <c r="F22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0" s="26"/>
      <c r="H220" s="33" t="str">
        <f>IF(Expenses[[#This Row],[Monthly Amount]]&lt;&gt;"",Expenses[[#This Row],[Monthly Amount]]/Income,"")</f>
        <v/>
      </c>
    </row>
    <row r="221" spans="2:8" ht="24" customHeight="1" x14ac:dyDescent="0.45">
      <c r="B221" s="31"/>
      <c r="C221" s="31"/>
      <c r="D221" s="32"/>
      <c r="E221" s="31"/>
      <c r="F22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1" s="26"/>
      <c r="H221" s="33" t="str">
        <f>IF(Expenses[[#This Row],[Monthly Amount]]&lt;&gt;"",Expenses[[#This Row],[Monthly Amount]]/Income,"")</f>
        <v/>
      </c>
    </row>
    <row r="222" spans="2:8" ht="24" customHeight="1" x14ac:dyDescent="0.45">
      <c r="B222" s="31"/>
      <c r="C222" s="31"/>
      <c r="D222" s="32"/>
      <c r="E222" s="31"/>
      <c r="F22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2" s="26"/>
      <c r="H222" s="33" t="str">
        <f>IF(Expenses[[#This Row],[Monthly Amount]]&lt;&gt;"",Expenses[[#This Row],[Monthly Amount]]/Income,"")</f>
        <v/>
      </c>
    </row>
    <row r="223" spans="2:8" ht="24" customHeight="1" x14ac:dyDescent="0.45">
      <c r="B223" s="31"/>
      <c r="C223" s="31"/>
      <c r="D223" s="32"/>
      <c r="E223" s="31"/>
      <c r="F22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3" s="26"/>
      <c r="H223" s="33" t="str">
        <f>IF(Expenses[[#This Row],[Monthly Amount]]&lt;&gt;"",Expenses[[#This Row],[Monthly Amount]]/Income,"")</f>
        <v/>
      </c>
    </row>
    <row r="224" spans="2:8" ht="24" customHeight="1" x14ac:dyDescent="0.45">
      <c r="B224" s="31"/>
      <c r="C224" s="31"/>
      <c r="D224" s="32"/>
      <c r="E224" s="31"/>
      <c r="F22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4" s="26"/>
      <c r="H224" s="33" t="str">
        <f>IF(Expenses[[#This Row],[Monthly Amount]]&lt;&gt;"",Expenses[[#This Row],[Monthly Amount]]/Income,"")</f>
        <v/>
      </c>
    </row>
    <row r="225" spans="2:8" ht="24" customHeight="1" x14ac:dyDescent="0.45">
      <c r="B225" s="31"/>
      <c r="C225" s="31"/>
      <c r="D225" s="32"/>
      <c r="E225" s="31"/>
      <c r="F22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5" s="26"/>
      <c r="H225" s="33" t="str">
        <f>IF(Expenses[[#This Row],[Monthly Amount]]&lt;&gt;"",Expenses[[#This Row],[Monthly Amount]]/Income,"")</f>
        <v/>
      </c>
    </row>
    <row r="226" spans="2:8" ht="24" customHeight="1" x14ac:dyDescent="0.45">
      <c r="B226" s="31"/>
      <c r="C226" s="31"/>
      <c r="D226" s="32"/>
      <c r="E226" s="31"/>
      <c r="F22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6" s="26"/>
      <c r="H226" s="33" t="str">
        <f>IF(Expenses[[#This Row],[Monthly Amount]]&lt;&gt;"",Expenses[[#This Row],[Monthly Amount]]/Income,"")</f>
        <v/>
      </c>
    </row>
    <row r="227" spans="2:8" ht="24" customHeight="1" x14ac:dyDescent="0.45">
      <c r="B227" s="31"/>
      <c r="C227" s="31"/>
      <c r="D227" s="32"/>
      <c r="E227" s="31"/>
      <c r="F22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7" s="26"/>
      <c r="H227" s="33" t="str">
        <f>IF(Expenses[[#This Row],[Monthly Amount]]&lt;&gt;"",Expenses[[#This Row],[Monthly Amount]]/Income,"")</f>
        <v/>
      </c>
    </row>
    <row r="228" spans="2:8" ht="24" customHeight="1" x14ac:dyDescent="0.45">
      <c r="B228" s="31"/>
      <c r="C228" s="31"/>
      <c r="D228" s="32"/>
      <c r="E228" s="31"/>
      <c r="F22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8" s="26"/>
      <c r="H228" s="33" t="str">
        <f>IF(Expenses[[#This Row],[Monthly Amount]]&lt;&gt;"",Expenses[[#This Row],[Monthly Amount]]/Income,"")</f>
        <v/>
      </c>
    </row>
    <row r="229" spans="2:8" ht="24" customHeight="1" x14ac:dyDescent="0.45">
      <c r="B229" s="31"/>
      <c r="C229" s="31"/>
      <c r="D229" s="32"/>
      <c r="E229" s="31"/>
      <c r="F22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29" s="26"/>
      <c r="H229" s="33" t="str">
        <f>IF(Expenses[[#This Row],[Monthly Amount]]&lt;&gt;"",Expenses[[#This Row],[Monthly Amount]]/Income,"")</f>
        <v/>
      </c>
    </row>
    <row r="230" spans="2:8" ht="24" customHeight="1" x14ac:dyDescent="0.45">
      <c r="B230" s="31"/>
      <c r="C230" s="31"/>
      <c r="D230" s="32"/>
      <c r="E230" s="31"/>
      <c r="F23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0" s="26"/>
      <c r="H230" s="33" t="str">
        <f>IF(Expenses[[#This Row],[Monthly Amount]]&lt;&gt;"",Expenses[[#This Row],[Monthly Amount]]/Income,"")</f>
        <v/>
      </c>
    </row>
    <row r="231" spans="2:8" ht="24" customHeight="1" x14ac:dyDescent="0.45">
      <c r="B231" s="31"/>
      <c r="C231" s="31"/>
      <c r="D231" s="32"/>
      <c r="E231" s="31"/>
      <c r="F23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1" s="26"/>
      <c r="H231" s="33" t="str">
        <f>IF(Expenses[[#This Row],[Monthly Amount]]&lt;&gt;"",Expenses[[#This Row],[Monthly Amount]]/Income,"")</f>
        <v/>
      </c>
    </row>
    <row r="232" spans="2:8" ht="24" customHeight="1" x14ac:dyDescent="0.45">
      <c r="B232" s="31"/>
      <c r="C232" s="31"/>
      <c r="D232" s="32"/>
      <c r="E232" s="31"/>
      <c r="F23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2" s="26"/>
      <c r="H232" s="33" t="str">
        <f>IF(Expenses[[#This Row],[Monthly Amount]]&lt;&gt;"",Expenses[[#This Row],[Monthly Amount]]/Income,"")</f>
        <v/>
      </c>
    </row>
    <row r="233" spans="2:8" ht="24" customHeight="1" x14ac:dyDescent="0.45">
      <c r="B233" s="31"/>
      <c r="C233" s="31"/>
      <c r="D233" s="32"/>
      <c r="E233" s="31"/>
      <c r="F23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3" s="26"/>
      <c r="H233" s="33" t="str">
        <f>IF(Expenses[[#This Row],[Monthly Amount]]&lt;&gt;"",Expenses[[#This Row],[Monthly Amount]]/Income,"")</f>
        <v/>
      </c>
    </row>
    <row r="234" spans="2:8" ht="24" customHeight="1" x14ac:dyDescent="0.45">
      <c r="B234" s="31"/>
      <c r="C234" s="31"/>
      <c r="D234" s="32"/>
      <c r="E234" s="31"/>
      <c r="F23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4" s="26"/>
      <c r="H234" s="33" t="str">
        <f>IF(Expenses[[#This Row],[Monthly Amount]]&lt;&gt;"",Expenses[[#This Row],[Monthly Amount]]/Income,"")</f>
        <v/>
      </c>
    </row>
    <row r="235" spans="2:8" ht="24" customHeight="1" x14ac:dyDescent="0.45">
      <c r="B235" s="31"/>
      <c r="C235" s="31"/>
      <c r="D235" s="32"/>
      <c r="E235" s="31"/>
      <c r="F23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5" s="26"/>
      <c r="H235" s="33" t="str">
        <f>IF(Expenses[[#This Row],[Monthly Amount]]&lt;&gt;"",Expenses[[#This Row],[Monthly Amount]]/Income,"")</f>
        <v/>
      </c>
    </row>
    <row r="236" spans="2:8" ht="24" customHeight="1" x14ac:dyDescent="0.45">
      <c r="B236" s="31"/>
      <c r="C236" s="31"/>
      <c r="D236" s="32"/>
      <c r="E236" s="31"/>
      <c r="F23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6" s="26"/>
      <c r="H236" s="33" t="str">
        <f>IF(Expenses[[#This Row],[Monthly Amount]]&lt;&gt;"",Expenses[[#This Row],[Monthly Amount]]/Income,"")</f>
        <v/>
      </c>
    </row>
    <row r="237" spans="2:8" ht="24" customHeight="1" x14ac:dyDescent="0.45">
      <c r="B237" s="31"/>
      <c r="C237" s="31"/>
      <c r="D237" s="32"/>
      <c r="E237" s="31"/>
      <c r="F23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7" s="26"/>
      <c r="H237" s="33" t="str">
        <f>IF(Expenses[[#This Row],[Monthly Amount]]&lt;&gt;"",Expenses[[#This Row],[Monthly Amount]]/Income,"")</f>
        <v/>
      </c>
    </row>
    <row r="238" spans="2:8" ht="24" customHeight="1" x14ac:dyDescent="0.45">
      <c r="B238" s="31"/>
      <c r="C238" s="31"/>
      <c r="D238" s="32"/>
      <c r="E238" s="31"/>
      <c r="F23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8" s="26"/>
      <c r="H238" s="33" t="str">
        <f>IF(Expenses[[#This Row],[Monthly Amount]]&lt;&gt;"",Expenses[[#This Row],[Monthly Amount]]/Income,"")</f>
        <v/>
      </c>
    </row>
    <row r="239" spans="2:8" ht="24" customHeight="1" x14ac:dyDescent="0.45">
      <c r="B239" s="31"/>
      <c r="C239" s="31"/>
      <c r="D239" s="32"/>
      <c r="E239" s="31"/>
      <c r="F23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39" s="26"/>
      <c r="H239" s="33" t="str">
        <f>IF(Expenses[[#This Row],[Monthly Amount]]&lt;&gt;"",Expenses[[#This Row],[Monthly Amount]]/Income,"")</f>
        <v/>
      </c>
    </row>
    <row r="240" spans="2:8" ht="24" customHeight="1" x14ac:dyDescent="0.45">
      <c r="B240" s="31"/>
      <c r="C240" s="31"/>
      <c r="D240" s="32"/>
      <c r="E240" s="31"/>
      <c r="F24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0" s="26"/>
      <c r="H240" s="33" t="str">
        <f>IF(Expenses[[#This Row],[Monthly Amount]]&lt;&gt;"",Expenses[[#This Row],[Monthly Amount]]/Income,"")</f>
        <v/>
      </c>
    </row>
    <row r="241" spans="2:8" ht="24" customHeight="1" x14ac:dyDescent="0.45">
      <c r="B241" s="31"/>
      <c r="C241" s="31"/>
      <c r="D241" s="32"/>
      <c r="E241" s="31"/>
      <c r="F24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1" s="26"/>
      <c r="H241" s="33" t="str">
        <f>IF(Expenses[[#This Row],[Monthly Amount]]&lt;&gt;"",Expenses[[#This Row],[Monthly Amount]]/Income,"")</f>
        <v/>
      </c>
    </row>
    <row r="242" spans="2:8" ht="24" customHeight="1" x14ac:dyDescent="0.45">
      <c r="B242" s="31"/>
      <c r="C242" s="31"/>
      <c r="D242" s="32"/>
      <c r="E242" s="31"/>
      <c r="F24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2" s="26"/>
      <c r="H242" s="33" t="str">
        <f>IF(Expenses[[#This Row],[Monthly Amount]]&lt;&gt;"",Expenses[[#This Row],[Monthly Amount]]/Income,"")</f>
        <v/>
      </c>
    </row>
    <row r="243" spans="2:8" ht="24" customHeight="1" x14ac:dyDescent="0.45">
      <c r="B243" s="31"/>
      <c r="C243" s="31"/>
      <c r="D243" s="32"/>
      <c r="E243" s="31"/>
      <c r="F24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3" s="26"/>
      <c r="H243" s="33" t="str">
        <f>IF(Expenses[[#This Row],[Monthly Amount]]&lt;&gt;"",Expenses[[#This Row],[Monthly Amount]]/Income,"")</f>
        <v/>
      </c>
    </row>
    <row r="244" spans="2:8" ht="24" customHeight="1" x14ac:dyDescent="0.45">
      <c r="B244" s="31"/>
      <c r="C244" s="31"/>
      <c r="D244" s="32"/>
      <c r="E244" s="31"/>
      <c r="F24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4" s="26"/>
      <c r="H244" s="33" t="str">
        <f>IF(Expenses[[#This Row],[Monthly Amount]]&lt;&gt;"",Expenses[[#This Row],[Monthly Amount]]/Income,"")</f>
        <v/>
      </c>
    </row>
    <row r="245" spans="2:8" ht="24" customHeight="1" x14ac:dyDescent="0.45">
      <c r="B245" s="31"/>
      <c r="C245" s="31"/>
      <c r="D245" s="32"/>
      <c r="E245" s="31"/>
      <c r="F24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5" s="26"/>
      <c r="H245" s="33" t="str">
        <f>IF(Expenses[[#This Row],[Monthly Amount]]&lt;&gt;"",Expenses[[#This Row],[Monthly Amount]]/Income,"")</f>
        <v/>
      </c>
    </row>
    <row r="246" spans="2:8" ht="24" customHeight="1" x14ac:dyDescent="0.45">
      <c r="B246" s="31"/>
      <c r="C246" s="31"/>
      <c r="D246" s="32"/>
      <c r="E246" s="31"/>
      <c r="F24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6" s="26"/>
      <c r="H246" s="33" t="str">
        <f>IF(Expenses[[#This Row],[Monthly Amount]]&lt;&gt;"",Expenses[[#This Row],[Monthly Amount]]/Income,"")</f>
        <v/>
      </c>
    </row>
    <row r="247" spans="2:8" ht="24" customHeight="1" x14ac:dyDescent="0.45">
      <c r="B247" s="31"/>
      <c r="C247" s="31"/>
      <c r="D247" s="32"/>
      <c r="E247" s="31"/>
      <c r="F24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7" s="26"/>
      <c r="H247" s="33" t="str">
        <f>IF(Expenses[[#This Row],[Monthly Amount]]&lt;&gt;"",Expenses[[#This Row],[Monthly Amount]]/Income,"")</f>
        <v/>
      </c>
    </row>
    <row r="248" spans="2:8" ht="24" customHeight="1" x14ac:dyDescent="0.45">
      <c r="B248" s="31"/>
      <c r="C248" s="31"/>
      <c r="D248" s="32"/>
      <c r="E248" s="31"/>
      <c r="F24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8" s="26"/>
      <c r="H248" s="33" t="str">
        <f>IF(Expenses[[#This Row],[Monthly Amount]]&lt;&gt;"",Expenses[[#This Row],[Monthly Amount]]/Income,"")</f>
        <v/>
      </c>
    </row>
    <row r="249" spans="2:8" ht="24" customHeight="1" x14ac:dyDescent="0.45">
      <c r="B249" s="31"/>
      <c r="C249" s="31"/>
      <c r="D249" s="32"/>
      <c r="E249" s="31"/>
      <c r="F24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49" s="26"/>
      <c r="H249" s="33" t="str">
        <f>IF(Expenses[[#This Row],[Monthly Amount]]&lt;&gt;"",Expenses[[#This Row],[Monthly Amount]]/Income,"")</f>
        <v/>
      </c>
    </row>
    <row r="250" spans="2:8" ht="24" customHeight="1" x14ac:dyDescent="0.45">
      <c r="B250" s="31"/>
      <c r="C250" s="31"/>
      <c r="D250" s="32"/>
      <c r="E250" s="31"/>
      <c r="F25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0" s="26"/>
      <c r="H250" s="33" t="str">
        <f>IF(Expenses[[#This Row],[Monthly Amount]]&lt;&gt;"",Expenses[[#This Row],[Monthly Amount]]/Income,"")</f>
        <v/>
      </c>
    </row>
    <row r="251" spans="2:8" ht="24" customHeight="1" x14ac:dyDescent="0.45">
      <c r="B251" s="31"/>
      <c r="C251" s="31"/>
      <c r="D251" s="32"/>
      <c r="E251" s="31"/>
      <c r="F25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1" s="26"/>
      <c r="H251" s="33" t="str">
        <f>IF(Expenses[[#This Row],[Monthly Amount]]&lt;&gt;"",Expenses[[#This Row],[Monthly Amount]]/Income,"")</f>
        <v/>
      </c>
    </row>
    <row r="252" spans="2:8" ht="24" customHeight="1" x14ac:dyDescent="0.45">
      <c r="B252" s="31"/>
      <c r="C252" s="31"/>
      <c r="D252" s="32"/>
      <c r="E252" s="31"/>
      <c r="F25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2" s="26"/>
      <c r="H252" s="33" t="str">
        <f>IF(Expenses[[#This Row],[Monthly Amount]]&lt;&gt;"",Expenses[[#This Row],[Monthly Amount]]/Income,"")</f>
        <v/>
      </c>
    </row>
    <row r="253" spans="2:8" ht="24" customHeight="1" x14ac:dyDescent="0.45">
      <c r="B253" s="31"/>
      <c r="C253" s="31"/>
      <c r="D253" s="32"/>
      <c r="E253" s="31"/>
      <c r="F25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3" s="26"/>
      <c r="H253" s="33" t="str">
        <f>IF(Expenses[[#This Row],[Monthly Amount]]&lt;&gt;"",Expenses[[#This Row],[Monthly Amount]]/Income,"")</f>
        <v/>
      </c>
    </row>
    <row r="254" spans="2:8" ht="24" customHeight="1" x14ac:dyDescent="0.45">
      <c r="B254" s="31"/>
      <c r="C254" s="31"/>
      <c r="D254" s="32"/>
      <c r="E254" s="31"/>
      <c r="F25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4" s="26"/>
      <c r="H254" s="33" t="str">
        <f>IF(Expenses[[#This Row],[Monthly Amount]]&lt;&gt;"",Expenses[[#This Row],[Monthly Amount]]/Income,"")</f>
        <v/>
      </c>
    </row>
    <row r="255" spans="2:8" ht="24" customHeight="1" x14ac:dyDescent="0.45">
      <c r="B255" s="31"/>
      <c r="C255" s="31"/>
      <c r="D255" s="32"/>
      <c r="E255" s="31"/>
      <c r="F25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5" s="26"/>
      <c r="H255" s="33" t="str">
        <f>IF(Expenses[[#This Row],[Monthly Amount]]&lt;&gt;"",Expenses[[#This Row],[Monthly Amount]]/Income,"")</f>
        <v/>
      </c>
    </row>
    <row r="256" spans="2:8" ht="24" customHeight="1" x14ac:dyDescent="0.45">
      <c r="B256" s="31"/>
      <c r="C256" s="31"/>
      <c r="D256" s="32"/>
      <c r="E256" s="31"/>
      <c r="F25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6" s="26"/>
      <c r="H256" s="33" t="str">
        <f>IF(Expenses[[#This Row],[Monthly Amount]]&lt;&gt;"",Expenses[[#This Row],[Monthly Amount]]/Income,"")</f>
        <v/>
      </c>
    </row>
    <row r="257" spans="2:8" ht="24" customHeight="1" x14ac:dyDescent="0.45">
      <c r="B257" s="31"/>
      <c r="C257" s="31"/>
      <c r="D257" s="32"/>
      <c r="E257" s="31"/>
      <c r="F25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7" s="26"/>
      <c r="H257" s="33" t="str">
        <f>IF(Expenses[[#This Row],[Monthly Amount]]&lt;&gt;"",Expenses[[#This Row],[Monthly Amount]]/Income,"")</f>
        <v/>
      </c>
    </row>
    <row r="258" spans="2:8" ht="24" customHeight="1" x14ac:dyDescent="0.45">
      <c r="B258" s="31"/>
      <c r="C258" s="31"/>
      <c r="D258" s="32"/>
      <c r="E258" s="31"/>
      <c r="F25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8" s="26"/>
      <c r="H258" s="33" t="str">
        <f>IF(Expenses[[#This Row],[Monthly Amount]]&lt;&gt;"",Expenses[[#This Row],[Monthly Amount]]/Income,"")</f>
        <v/>
      </c>
    </row>
    <row r="259" spans="2:8" ht="24" customHeight="1" x14ac:dyDescent="0.45">
      <c r="B259" s="31"/>
      <c r="C259" s="31"/>
      <c r="D259" s="32"/>
      <c r="E259" s="31"/>
      <c r="F25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59" s="26"/>
      <c r="H259" s="33" t="str">
        <f>IF(Expenses[[#This Row],[Monthly Amount]]&lt;&gt;"",Expenses[[#This Row],[Monthly Amount]]/Income,"")</f>
        <v/>
      </c>
    </row>
    <row r="260" spans="2:8" ht="24" customHeight="1" x14ac:dyDescent="0.45">
      <c r="B260" s="31"/>
      <c r="C260" s="31"/>
      <c r="D260" s="32"/>
      <c r="E260" s="31"/>
      <c r="F26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0" s="26"/>
      <c r="H260" s="33" t="str">
        <f>IF(Expenses[[#This Row],[Monthly Amount]]&lt;&gt;"",Expenses[[#This Row],[Monthly Amount]]/Income,"")</f>
        <v/>
      </c>
    </row>
    <row r="261" spans="2:8" ht="24" customHeight="1" x14ac:dyDescent="0.45">
      <c r="B261" s="31"/>
      <c r="C261" s="31"/>
      <c r="D261" s="32"/>
      <c r="E261" s="31"/>
      <c r="F26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1" s="26"/>
      <c r="H261" s="33" t="str">
        <f>IF(Expenses[[#This Row],[Monthly Amount]]&lt;&gt;"",Expenses[[#This Row],[Monthly Amount]]/Income,"")</f>
        <v/>
      </c>
    </row>
    <row r="262" spans="2:8" ht="24" customHeight="1" x14ac:dyDescent="0.45">
      <c r="B262" s="31"/>
      <c r="C262" s="31"/>
      <c r="D262" s="32"/>
      <c r="E262" s="31"/>
      <c r="F26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2" s="26"/>
      <c r="H262" s="33" t="str">
        <f>IF(Expenses[[#This Row],[Monthly Amount]]&lt;&gt;"",Expenses[[#This Row],[Monthly Amount]]/Income,"")</f>
        <v/>
      </c>
    </row>
    <row r="263" spans="2:8" ht="24" customHeight="1" x14ac:dyDescent="0.45">
      <c r="B263" s="31"/>
      <c r="C263" s="31"/>
      <c r="D263" s="32"/>
      <c r="E263" s="31"/>
      <c r="F26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3" s="26"/>
      <c r="H263" s="33" t="str">
        <f>IF(Expenses[[#This Row],[Monthly Amount]]&lt;&gt;"",Expenses[[#This Row],[Monthly Amount]]/Income,"")</f>
        <v/>
      </c>
    </row>
    <row r="264" spans="2:8" ht="24" customHeight="1" x14ac:dyDescent="0.45">
      <c r="B264" s="31"/>
      <c r="C264" s="31"/>
      <c r="D264" s="32"/>
      <c r="E264" s="31"/>
      <c r="F26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4" s="26"/>
      <c r="H264" s="33" t="str">
        <f>IF(Expenses[[#This Row],[Monthly Amount]]&lt;&gt;"",Expenses[[#This Row],[Monthly Amount]]/Income,"")</f>
        <v/>
      </c>
    </row>
    <row r="265" spans="2:8" ht="24" customHeight="1" x14ac:dyDescent="0.45">
      <c r="B265" s="31"/>
      <c r="C265" s="31"/>
      <c r="D265" s="32"/>
      <c r="E265" s="31"/>
      <c r="F26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5" s="26"/>
      <c r="H265" s="33" t="str">
        <f>IF(Expenses[[#This Row],[Monthly Amount]]&lt;&gt;"",Expenses[[#This Row],[Monthly Amount]]/Income,"")</f>
        <v/>
      </c>
    </row>
    <row r="266" spans="2:8" ht="24" customHeight="1" x14ac:dyDescent="0.45">
      <c r="B266" s="31"/>
      <c r="C266" s="31"/>
      <c r="D266" s="32"/>
      <c r="E266" s="31"/>
      <c r="F26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6" s="26"/>
      <c r="H266" s="33" t="str">
        <f>IF(Expenses[[#This Row],[Monthly Amount]]&lt;&gt;"",Expenses[[#This Row],[Monthly Amount]]/Income,"")</f>
        <v/>
      </c>
    </row>
    <row r="267" spans="2:8" ht="24" customHeight="1" x14ac:dyDescent="0.45">
      <c r="B267" s="31"/>
      <c r="C267" s="31"/>
      <c r="D267" s="32"/>
      <c r="E267" s="31"/>
      <c r="F26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7" s="26"/>
      <c r="H267" s="33" t="str">
        <f>IF(Expenses[[#This Row],[Monthly Amount]]&lt;&gt;"",Expenses[[#This Row],[Monthly Amount]]/Income,"")</f>
        <v/>
      </c>
    </row>
    <row r="268" spans="2:8" ht="24" customHeight="1" x14ac:dyDescent="0.45">
      <c r="B268" s="31"/>
      <c r="C268" s="31"/>
      <c r="D268" s="32"/>
      <c r="E268" s="31"/>
      <c r="F26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8" s="26"/>
      <c r="H268" s="33" t="str">
        <f>IF(Expenses[[#This Row],[Monthly Amount]]&lt;&gt;"",Expenses[[#This Row],[Monthly Amount]]/Income,"")</f>
        <v/>
      </c>
    </row>
    <row r="269" spans="2:8" ht="24" customHeight="1" x14ac:dyDescent="0.45">
      <c r="B269" s="31"/>
      <c r="C269" s="31"/>
      <c r="D269" s="32"/>
      <c r="E269" s="31"/>
      <c r="F26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69" s="26"/>
      <c r="H269" s="33" t="str">
        <f>IF(Expenses[[#This Row],[Monthly Amount]]&lt;&gt;"",Expenses[[#This Row],[Monthly Amount]]/Income,"")</f>
        <v/>
      </c>
    </row>
    <row r="270" spans="2:8" ht="24" customHeight="1" x14ac:dyDescent="0.45">
      <c r="B270" s="31"/>
      <c r="C270" s="31"/>
      <c r="D270" s="32"/>
      <c r="E270" s="31"/>
      <c r="F27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0" s="26"/>
      <c r="H270" s="33" t="str">
        <f>IF(Expenses[[#This Row],[Monthly Amount]]&lt;&gt;"",Expenses[[#This Row],[Monthly Amount]]/Income,"")</f>
        <v/>
      </c>
    </row>
    <row r="271" spans="2:8" ht="24" customHeight="1" x14ac:dyDescent="0.45">
      <c r="B271" s="31"/>
      <c r="C271" s="31"/>
      <c r="D271" s="32"/>
      <c r="E271" s="31"/>
      <c r="F27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1" s="26"/>
      <c r="H271" s="33" t="str">
        <f>IF(Expenses[[#This Row],[Monthly Amount]]&lt;&gt;"",Expenses[[#This Row],[Monthly Amount]]/Income,"")</f>
        <v/>
      </c>
    </row>
    <row r="272" spans="2:8" ht="24" customHeight="1" x14ac:dyDescent="0.45">
      <c r="B272" s="31"/>
      <c r="C272" s="31"/>
      <c r="D272" s="32"/>
      <c r="E272" s="31"/>
      <c r="F27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2" s="26"/>
      <c r="H272" s="33" t="str">
        <f>IF(Expenses[[#This Row],[Monthly Amount]]&lt;&gt;"",Expenses[[#This Row],[Monthly Amount]]/Income,"")</f>
        <v/>
      </c>
    </row>
    <row r="273" spans="2:8" ht="24" customHeight="1" x14ac:dyDescent="0.45">
      <c r="B273" s="31"/>
      <c r="C273" s="31"/>
      <c r="D273" s="32"/>
      <c r="E273" s="31"/>
      <c r="F27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3" s="26"/>
      <c r="H273" s="33" t="str">
        <f>IF(Expenses[[#This Row],[Monthly Amount]]&lt;&gt;"",Expenses[[#This Row],[Monthly Amount]]/Income,"")</f>
        <v/>
      </c>
    </row>
    <row r="274" spans="2:8" ht="24" customHeight="1" x14ac:dyDescent="0.45">
      <c r="B274" s="31"/>
      <c r="C274" s="31"/>
      <c r="D274" s="32"/>
      <c r="E274" s="31"/>
      <c r="F27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4" s="26"/>
      <c r="H274" s="33" t="str">
        <f>IF(Expenses[[#This Row],[Monthly Amount]]&lt;&gt;"",Expenses[[#This Row],[Monthly Amount]]/Income,"")</f>
        <v/>
      </c>
    </row>
    <row r="275" spans="2:8" ht="24" customHeight="1" x14ac:dyDescent="0.45">
      <c r="B275" s="31"/>
      <c r="C275" s="31"/>
      <c r="D275" s="32"/>
      <c r="E275" s="31"/>
      <c r="F27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5" s="26"/>
      <c r="H275" s="33" t="str">
        <f>IF(Expenses[[#This Row],[Monthly Amount]]&lt;&gt;"",Expenses[[#This Row],[Monthly Amount]]/Income,"")</f>
        <v/>
      </c>
    </row>
    <row r="276" spans="2:8" ht="24" customHeight="1" x14ac:dyDescent="0.45">
      <c r="B276" s="31"/>
      <c r="C276" s="31"/>
      <c r="D276" s="32"/>
      <c r="E276" s="31"/>
      <c r="F27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6" s="26"/>
      <c r="H276" s="33" t="str">
        <f>IF(Expenses[[#This Row],[Monthly Amount]]&lt;&gt;"",Expenses[[#This Row],[Monthly Amount]]/Income,"")</f>
        <v/>
      </c>
    </row>
    <row r="277" spans="2:8" ht="24" customHeight="1" x14ac:dyDescent="0.45">
      <c r="B277" s="31"/>
      <c r="C277" s="31"/>
      <c r="D277" s="32"/>
      <c r="E277" s="31"/>
      <c r="F27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7" s="26"/>
      <c r="H277" s="33" t="str">
        <f>IF(Expenses[[#This Row],[Monthly Amount]]&lt;&gt;"",Expenses[[#This Row],[Monthly Amount]]/Income,"")</f>
        <v/>
      </c>
    </row>
    <row r="278" spans="2:8" ht="24" customHeight="1" x14ac:dyDescent="0.45">
      <c r="B278" s="31"/>
      <c r="C278" s="31"/>
      <c r="D278" s="32"/>
      <c r="E278" s="31"/>
      <c r="F27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8" s="26"/>
      <c r="H278" s="33" t="str">
        <f>IF(Expenses[[#This Row],[Monthly Amount]]&lt;&gt;"",Expenses[[#This Row],[Monthly Amount]]/Income,"")</f>
        <v/>
      </c>
    </row>
    <row r="279" spans="2:8" ht="24" customHeight="1" x14ac:dyDescent="0.45">
      <c r="B279" s="31"/>
      <c r="C279" s="31"/>
      <c r="D279" s="32"/>
      <c r="E279" s="31"/>
      <c r="F27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79" s="26"/>
      <c r="H279" s="33" t="str">
        <f>IF(Expenses[[#This Row],[Monthly Amount]]&lt;&gt;"",Expenses[[#This Row],[Monthly Amount]]/Income,"")</f>
        <v/>
      </c>
    </row>
    <row r="280" spans="2:8" ht="24" customHeight="1" x14ac:dyDescent="0.45">
      <c r="B280" s="31"/>
      <c r="C280" s="31"/>
      <c r="D280" s="32"/>
      <c r="E280" s="31"/>
      <c r="F28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0" s="26"/>
      <c r="H280" s="33" t="str">
        <f>IF(Expenses[[#This Row],[Monthly Amount]]&lt;&gt;"",Expenses[[#This Row],[Monthly Amount]]/Income,"")</f>
        <v/>
      </c>
    </row>
    <row r="281" spans="2:8" ht="24" customHeight="1" x14ac:dyDescent="0.45">
      <c r="B281" s="31"/>
      <c r="C281" s="31"/>
      <c r="D281" s="32"/>
      <c r="E281" s="31"/>
      <c r="F28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1" s="26"/>
      <c r="H281" s="33" t="str">
        <f>IF(Expenses[[#This Row],[Monthly Amount]]&lt;&gt;"",Expenses[[#This Row],[Monthly Amount]]/Income,"")</f>
        <v/>
      </c>
    </row>
    <row r="282" spans="2:8" ht="24" customHeight="1" x14ac:dyDescent="0.45">
      <c r="B282" s="31"/>
      <c r="C282" s="31"/>
      <c r="D282" s="32"/>
      <c r="E282" s="31"/>
      <c r="F28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2" s="26"/>
      <c r="H282" s="33" t="str">
        <f>IF(Expenses[[#This Row],[Monthly Amount]]&lt;&gt;"",Expenses[[#This Row],[Monthly Amount]]/Income,"")</f>
        <v/>
      </c>
    </row>
    <row r="283" spans="2:8" ht="24" customHeight="1" x14ac:dyDescent="0.45">
      <c r="B283" s="31"/>
      <c r="C283" s="31"/>
      <c r="D283" s="32"/>
      <c r="E283" s="31"/>
      <c r="F28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3" s="26"/>
      <c r="H283" s="33" t="str">
        <f>IF(Expenses[[#This Row],[Monthly Amount]]&lt;&gt;"",Expenses[[#This Row],[Monthly Amount]]/Income,"")</f>
        <v/>
      </c>
    </row>
    <row r="284" spans="2:8" ht="24" customHeight="1" x14ac:dyDescent="0.45">
      <c r="B284" s="31"/>
      <c r="C284" s="31"/>
      <c r="D284" s="32"/>
      <c r="E284" s="31"/>
      <c r="F28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4" s="26"/>
      <c r="H284" s="33" t="str">
        <f>IF(Expenses[[#This Row],[Monthly Amount]]&lt;&gt;"",Expenses[[#This Row],[Monthly Amount]]/Income,"")</f>
        <v/>
      </c>
    </row>
    <row r="285" spans="2:8" ht="24" customHeight="1" x14ac:dyDescent="0.45">
      <c r="B285" s="31"/>
      <c r="C285" s="31"/>
      <c r="D285" s="32"/>
      <c r="E285" s="31"/>
      <c r="F28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5" s="26"/>
      <c r="H285" s="33" t="str">
        <f>IF(Expenses[[#This Row],[Monthly Amount]]&lt;&gt;"",Expenses[[#This Row],[Monthly Amount]]/Income,"")</f>
        <v/>
      </c>
    </row>
    <row r="286" spans="2:8" ht="24" customHeight="1" x14ac:dyDescent="0.45">
      <c r="B286" s="31"/>
      <c r="C286" s="31"/>
      <c r="D286" s="32"/>
      <c r="E286" s="31"/>
      <c r="F28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6" s="26"/>
      <c r="H286" s="33" t="str">
        <f>IF(Expenses[[#This Row],[Monthly Amount]]&lt;&gt;"",Expenses[[#This Row],[Monthly Amount]]/Income,"")</f>
        <v/>
      </c>
    </row>
    <row r="287" spans="2:8" ht="24" customHeight="1" x14ac:dyDescent="0.45">
      <c r="B287" s="31"/>
      <c r="C287" s="31"/>
      <c r="D287" s="32"/>
      <c r="E287" s="31"/>
      <c r="F28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7" s="26"/>
      <c r="H287" s="33" t="str">
        <f>IF(Expenses[[#This Row],[Monthly Amount]]&lt;&gt;"",Expenses[[#This Row],[Monthly Amount]]/Income,"")</f>
        <v/>
      </c>
    </row>
    <row r="288" spans="2:8" ht="24" customHeight="1" x14ac:dyDescent="0.45">
      <c r="B288" s="31"/>
      <c r="C288" s="31"/>
      <c r="D288" s="32"/>
      <c r="E288" s="31"/>
      <c r="F28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8" s="26"/>
      <c r="H288" s="33" t="str">
        <f>IF(Expenses[[#This Row],[Monthly Amount]]&lt;&gt;"",Expenses[[#This Row],[Monthly Amount]]/Income,"")</f>
        <v/>
      </c>
    </row>
    <row r="289" spans="2:8" ht="24" customHeight="1" x14ac:dyDescent="0.45">
      <c r="B289" s="31"/>
      <c r="C289" s="31"/>
      <c r="D289" s="32"/>
      <c r="E289" s="31"/>
      <c r="F28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89" s="26"/>
      <c r="H289" s="33" t="str">
        <f>IF(Expenses[[#This Row],[Monthly Amount]]&lt;&gt;"",Expenses[[#This Row],[Monthly Amount]]/Income,"")</f>
        <v/>
      </c>
    </row>
    <row r="290" spans="2:8" ht="24" customHeight="1" x14ac:dyDescent="0.45">
      <c r="B290" s="31"/>
      <c r="C290" s="31"/>
      <c r="D290" s="32"/>
      <c r="E290" s="31"/>
      <c r="F29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0" s="26"/>
      <c r="H290" s="33" t="str">
        <f>IF(Expenses[[#This Row],[Monthly Amount]]&lt;&gt;"",Expenses[[#This Row],[Monthly Amount]]/Income,"")</f>
        <v/>
      </c>
    </row>
    <row r="291" spans="2:8" ht="24" customHeight="1" x14ac:dyDescent="0.45">
      <c r="B291" s="31"/>
      <c r="C291" s="31"/>
      <c r="D291" s="32"/>
      <c r="E291" s="31"/>
      <c r="F29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1" s="26"/>
      <c r="H291" s="33" t="str">
        <f>IF(Expenses[[#This Row],[Monthly Amount]]&lt;&gt;"",Expenses[[#This Row],[Monthly Amount]]/Income,"")</f>
        <v/>
      </c>
    </row>
    <row r="292" spans="2:8" ht="24" customHeight="1" x14ac:dyDescent="0.45">
      <c r="B292" s="31"/>
      <c r="C292" s="31"/>
      <c r="D292" s="32"/>
      <c r="E292" s="31"/>
      <c r="F29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2" s="26"/>
      <c r="H292" s="33" t="str">
        <f>IF(Expenses[[#This Row],[Monthly Amount]]&lt;&gt;"",Expenses[[#This Row],[Monthly Amount]]/Income,"")</f>
        <v/>
      </c>
    </row>
    <row r="293" spans="2:8" ht="24" customHeight="1" x14ac:dyDescent="0.45">
      <c r="B293" s="31"/>
      <c r="C293" s="31"/>
      <c r="D293" s="32"/>
      <c r="E293" s="31"/>
      <c r="F29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3" s="26"/>
      <c r="H293" s="33" t="str">
        <f>IF(Expenses[[#This Row],[Monthly Amount]]&lt;&gt;"",Expenses[[#This Row],[Monthly Amount]]/Income,"")</f>
        <v/>
      </c>
    </row>
    <row r="294" spans="2:8" ht="24" customHeight="1" x14ac:dyDescent="0.45">
      <c r="B294" s="31"/>
      <c r="C294" s="31"/>
      <c r="D294" s="32"/>
      <c r="E294" s="31"/>
      <c r="F29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4" s="26"/>
      <c r="H294" s="33" t="str">
        <f>IF(Expenses[[#This Row],[Monthly Amount]]&lt;&gt;"",Expenses[[#This Row],[Monthly Amount]]/Income,"")</f>
        <v/>
      </c>
    </row>
    <row r="295" spans="2:8" ht="24" customHeight="1" x14ac:dyDescent="0.45">
      <c r="B295" s="31"/>
      <c r="C295" s="31"/>
      <c r="D295" s="32"/>
      <c r="E295" s="31"/>
      <c r="F29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5" s="26"/>
      <c r="H295" s="33" t="str">
        <f>IF(Expenses[[#This Row],[Monthly Amount]]&lt;&gt;"",Expenses[[#This Row],[Monthly Amount]]/Income,"")</f>
        <v/>
      </c>
    </row>
    <row r="296" spans="2:8" ht="24" customHeight="1" x14ac:dyDescent="0.45">
      <c r="B296" s="31"/>
      <c r="C296" s="31"/>
      <c r="D296" s="32"/>
      <c r="E296" s="31"/>
      <c r="F29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6" s="26"/>
      <c r="H296" s="33" t="str">
        <f>IF(Expenses[[#This Row],[Monthly Amount]]&lt;&gt;"",Expenses[[#This Row],[Monthly Amount]]/Income,"")</f>
        <v/>
      </c>
    </row>
    <row r="297" spans="2:8" ht="24" customHeight="1" x14ac:dyDescent="0.45">
      <c r="B297" s="31"/>
      <c r="C297" s="31"/>
      <c r="D297" s="32"/>
      <c r="E297" s="31"/>
      <c r="F29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7" s="26"/>
      <c r="H297" s="33" t="str">
        <f>IF(Expenses[[#This Row],[Monthly Amount]]&lt;&gt;"",Expenses[[#This Row],[Monthly Amount]]/Income,"")</f>
        <v/>
      </c>
    </row>
    <row r="298" spans="2:8" ht="24" customHeight="1" x14ac:dyDescent="0.45">
      <c r="B298" s="31"/>
      <c r="C298" s="31"/>
      <c r="D298" s="32"/>
      <c r="E298" s="31"/>
      <c r="F29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8" s="26"/>
      <c r="H298" s="33" t="str">
        <f>IF(Expenses[[#This Row],[Monthly Amount]]&lt;&gt;"",Expenses[[#This Row],[Monthly Amount]]/Income,"")</f>
        <v/>
      </c>
    </row>
    <row r="299" spans="2:8" ht="24" customHeight="1" x14ac:dyDescent="0.45">
      <c r="B299" s="31"/>
      <c r="C299" s="31"/>
      <c r="D299" s="32"/>
      <c r="E299" s="31"/>
      <c r="F29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299" s="26"/>
      <c r="H299" s="33" t="str">
        <f>IF(Expenses[[#This Row],[Monthly Amount]]&lt;&gt;"",Expenses[[#This Row],[Monthly Amount]]/Income,"")</f>
        <v/>
      </c>
    </row>
    <row r="300" spans="2:8" ht="24" customHeight="1" x14ac:dyDescent="0.45">
      <c r="B300" s="31"/>
      <c r="C300" s="31"/>
      <c r="D300" s="32"/>
      <c r="E300" s="31"/>
      <c r="F30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0" s="26"/>
      <c r="H300" s="33" t="str">
        <f>IF(Expenses[[#This Row],[Monthly Amount]]&lt;&gt;"",Expenses[[#This Row],[Monthly Amount]]/Income,"")</f>
        <v/>
      </c>
    </row>
    <row r="301" spans="2:8" ht="24" customHeight="1" x14ac:dyDescent="0.45">
      <c r="B301" s="31"/>
      <c r="C301" s="31"/>
      <c r="D301" s="32"/>
      <c r="E301" s="31"/>
      <c r="F30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1" s="26"/>
      <c r="H301" s="33" t="str">
        <f>IF(Expenses[[#This Row],[Monthly Amount]]&lt;&gt;"",Expenses[[#This Row],[Monthly Amount]]/Income,"")</f>
        <v/>
      </c>
    </row>
    <row r="302" spans="2:8" ht="24" customHeight="1" x14ac:dyDescent="0.45">
      <c r="B302" s="31"/>
      <c r="C302" s="31"/>
      <c r="D302" s="32"/>
      <c r="E302" s="31"/>
      <c r="F30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2" s="26"/>
      <c r="H302" s="33" t="str">
        <f>IF(Expenses[[#This Row],[Monthly Amount]]&lt;&gt;"",Expenses[[#This Row],[Monthly Amount]]/Income,"")</f>
        <v/>
      </c>
    </row>
    <row r="303" spans="2:8" ht="24" customHeight="1" x14ac:dyDescent="0.45">
      <c r="B303" s="31"/>
      <c r="C303" s="31"/>
      <c r="D303" s="32"/>
      <c r="E303" s="31"/>
      <c r="F30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3" s="26"/>
      <c r="H303" s="33" t="str">
        <f>IF(Expenses[[#This Row],[Monthly Amount]]&lt;&gt;"",Expenses[[#This Row],[Monthly Amount]]/Income,"")</f>
        <v/>
      </c>
    </row>
    <row r="304" spans="2:8" ht="24" customHeight="1" x14ac:dyDescent="0.45">
      <c r="B304" s="31"/>
      <c r="C304" s="31"/>
      <c r="D304" s="32"/>
      <c r="E304" s="31"/>
      <c r="F30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4" s="26"/>
      <c r="H304" s="33" t="str">
        <f>IF(Expenses[[#This Row],[Monthly Amount]]&lt;&gt;"",Expenses[[#This Row],[Monthly Amount]]/Income,"")</f>
        <v/>
      </c>
    </row>
    <row r="305" spans="2:8" ht="24" customHeight="1" x14ac:dyDescent="0.45">
      <c r="B305" s="31"/>
      <c r="C305" s="31"/>
      <c r="D305" s="32"/>
      <c r="E305" s="31"/>
      <c r="F30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5" s="26"/>
      <c r="H305" s="33" t="str">
        <f>IF(Expenses[[#This Row],[Monthly Amount]]&lt;&gt;"",Expenses[[#This Row],[Monthly Amount]]/Income,"")</f>
        <v/>
      </c>
    </row>
    <row r="306" spans="2:8" ht="24" customHeight="1" x14ac:dyDescent="0.45">
      <c r="B306" s="31"/>
      <c r="C306" s="31"/>
      <c r="D306" s="32"/>
      <c r="E306" s="31"/>
      <c r="F30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6" s="26"/>
      <c r="H306" s="33" t="str">
        <f>IF(Expenses[[#This Row],[Monthly Amount]]&lt;&gt;"",Expenses[[#This Row],[Monthly Amount]]/Income,"")</f>
        <v/>
      </c>
    </row>
    <row r="307" spans="2:8" ht="24" customHeight="1" x14ac:dyDescent="0.45">
      <c r="B307" s="31"/>
      <c r="C307" s="31"/>
      <c r="D307" s="32"/>
      <c r="E307" s="31"/>
      <c r="F30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7" s="26"/>
      <c r="H307" s="33" t="str">
        <f>IF(Expenses[[#This Row],[Monthly Amount]]&lt;&gt;"",Expenses[[#This Row],[Monthly Amount]]/Income,"")</f>
        <v/>
      </c>
    </row>
    <row r="308" spans="2:8" ht="24" customHeight="1" x14ac:dyDescent="0.45">
      <c r="B308" s="31"/>
      <c r="C308" s="31"/>
      <c r="D308" s="32"/>
      <c r="E308" s="31"/>
      <c r="F30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8" s="26"/>
      <c r="H308" s="33" t="str">
        <f>IF(Expenses[[#This Row],[Monthly Amount]]&lt;&gt;"",Expenses[[#This Row],[Monthly Amount]]/Income,"")</f>
        <v/>
      </c>
    </row>
    <row r="309" spans="2:8" ht="24" customHeight="1" x14ac:dyDescent="0.45">
      <c r="B309" s="31"/>
      <c r="C309" s="31"/>
      <c r="D309" s="32"/>
      <c r="E309" s="31"/>
      <c r="F30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09" s="26"/>
      <c r="H309" s="33" t="str">
        <f>IF(Expenses[[#This Row],[Monthly Amount]]&lt;&gt;"",Expenses[[#This Row],[Monthly Amount]]/Income,"")</f>
        <v/>
      </c>
    </row>
    <row r="310" spans="2:8" ht="24" customHeight="1" x14ac:dyDescent="0.45">
      <c r="B310" s="31"/>
      <c r="C310" s="31"/>
      <c r="D310" s="32"/>
      <c r="E310" s="31"/>
      <c r="F31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0" s="26"/>
      <c r="H310" s="33" t="str">
        <f>IF(Expenses[[#This Row],[Monthly Amount]]&lt;&gt;"",Expenses[[#This Row],[Monthly Amount]]/Income,"")</f>
        <v/>
      </c>
    </row>
    <row r="311" spans="2:8" ht="24" customHeight="1" x14ac:dyDescent="0.45">
      <c r="B311" s="31"/>
      <c r="C311" s="31"/>
      <c r="D311" s="32"/>
      <c r="E311" s="31"/>
      <c r="F31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1" s="26"/>
      <c r="H311" s="33" t="str">
        <f>IF(Expenses[[#This Row],[Monthly Amount]]&lt;&gt;"",Expenses[[#This Row],[Monthly Amount]]/Income,"")</f>
        <v/>
      </c>
    </row>
    <row r="312" spans="2:8" ht="24" customHeight="1" x14ac:dyDescent="0.45">
      <c r="B312" s="31"/>
      <c r="C312" s="31"/>
      <c r="D312" s="32"/>
      <c r="E312" s="31"/>
      <c r="F31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2" s="26"/>
      <c r="H312" s="33" t="str">
        <f>IF(Expenses[[#This Row],[Monthly Amount]]&lt;&gt;"",Expenses[[#This Row],[Monthly Amount]]/Income,"")</f>
        <v/>
      </c>
    </row>
    <row r="313" spans="2:8" ht="24" customHeight="1" x14ac:dyDescent="0.45">
      <c r="B313" s="31"/>
      <c r="C313" s="31"/>
      <c r="D313" s="32"/>
      <c r="E313" s="31"/>
      <c r="F31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3" s="26"/>
      <c r="H313" s="33" t="str">
        <f>IF(Expenses[[#This Row],[Monthly Amount]]&lt;&gt;"",Expenses[[#This Row],[Monthly Amount]]/Income,"")</f>
        <v/>
      </c>
    </row>
    <row r="314" spans="2:8" ht="24" customHeight="1" x14ac:dyDescent="0.45">
      <c r="B314" s="31"/>
      <c r="C314" s="31"/>
      <c r="D314" s="32"/>
      <c r="E314" s="31"/>
      <c r="F31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4" s="26"/>
      <c r="H314" s="33" t="str">
        <f>IF(Expenses[[#This Row],[Monthly Amount]]&lt;&gt;"",Expenses[[#This Row],[Monthly Amount]]/Income,"")</f>
        <v/>
      </c>
    </row>
    <row r="315" spans="2:8" ht="24" customHeight="1" x14ac:dyDescent="0.45">
      <c r="B315" s="31"/>
      <c r="C315" s="31"/>
      <c r="D315" s="32"/>
      <c r="E315" s="31"/>
      <c r="F31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5" s="26"/>
      <c r="H315" s="33" t="str">
        <f>IF(Expenses[[#This Row],[Monthly Amount]]&lt;&gt;"",Expenses[[#This Row],[Monthly Amount]]/Income,"")</f>
        <v/>
      </c>
    </row>
    <row r="316" spans="2:8" ht="24" customHeight="1" x14ac:dyDescent="0.45">
      <c r="B316" s="31"/>
      <c r="C316" s="31"/>
      <c r="D316" s="32"/>
      <c r="E316" s="31"/>
      <c r="F31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6" s="26"/>
      <c r="H316" s="33" t="str">
        <f>IF(Expenses[[#This Row],[Monthly Amount]]&lt;&gt;"",Expenses[[#This Row],[Monthly Amount]]/Income,"")</f>
        <v/>
      </c>
    </row>
    <row r="317" spans="2:8" ht="24" customHeight="1" x14ac:dyDescent="0.45">
      <c r="B317" s="31"/>
      <c r="C317" s="31"/>
      <c r="D317" s="32"/>
      <c r="E317" s="31"/>
      <c r="F31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7" s="26"/>
      <c r="H317" s="33" t="str">
        <f>IF(Expenses[[#This Row],[Monthly Amount]]&lt;&gt;"",Expenses[[#This Row],[Monthly Amount]]/Income,"")</f>
        <v/>
      </c>
    </row>
    <row r="318" spans="2:8" ht="24" customHeight="1" x14ac:dyDescent="0.45">
      <c r="B318" s="31"/>
      <c r="C318" s="31"/>
      <c r="D318" s="32"/>
      <c r="E318" s="31"/>
      <c r="F31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8" s="26"/>
      <c r="H318" s="33" t="str">
        <f>IF(Expenses[[#This Row],[Monthly Amount]]&lt;&gt;"",Expenses[[#This Row],[Monthly Amount]]/Income,"")</f>
        <v/>
      </c>
    </row>
    <row r="319" spans="2:8" ht="24" customHeight="1" x14ac:dyDescent="0.45">
      <c r="B319" s="31"/>
      <c r="C319" s="31"/>
      <c r="D319" s="32"/>
      <c r="E319" s="31"/>
      <c r="F31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19" s="26"/>
      <c r="H319" s="33" t="str">
        <f>IF(Expenses[[#This Row],[Monthly Amount]]&lt;&gt;"",Expenses[[#This Row],[Monthly Amount]]/Income,"")</f>
        <v/>
      </c>
    </row>
    <row r="320" spans="2:8" ht="24" customHeight="1" x14ac:dyDescent="0.45">
      <c r="B320" s="31"/>
      <c r="C320" s="31"/>
      <c r="D320" s="32"/>
      <c r="E320" s="31"/>
      <c r="F32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0" s="26"/>
      <c r="H320" s="33" t="str">
        <f>IF(Expenses[[#This Row],[Monthly Amount]]&lt;&gt;"",Expenses[[#This Row],[Monthly Amount]]/Income,"")</f>
        <v/>
      </c>
    </row>
    <row r="321" spans="2:8" ht="24" customHeight="1" x14ac:dyDescent="0.45">
      <c r="B321" s="31"/>
      <c r="C321" s="31"/>
      <c r="D321" s="32"/>
      <c r="E321" s="31"/>
      <c r="F32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1" s="26"/>
      <c r="H321" s="33" t="str">
        <f>IF(Expenses[[#This Row],[Monthly Amount]]&lt;&gt;"",Expenses[[#This Row],[Monthly Amount]]/Income,"")</f>
        <v/>
      </c>
    </row>
    <row r="322" spans="2:8" ht="24" customHeight="1" x14ac:dyDescent="0.45">
      <c r="B322" s="31"/>
      <c r="C322" s="31"/>
      <c r="D322" s="32"/>
      <c r="E322" s="31"/>
      <c r="F32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2" s="26"/>
      <c r="H322" s="33" t="str">
        <f>IF(Expenses[[#This Row],[Monthly Amount]]&lt;&gt;"",Expenses[[#This Row],[Monthly Amount]]/Income,"")</f>
        <v/>
      </c>
    </row>
    <row r="323" spans="2:8" ht="24" customHeight="1" x14ac:dyDescent="0.45">
      <c r="B323" s="31"/>
      <c r="C323" s="31"/>
      <c r="D323" s="32"/>
      <c r="E323" s="31"/>
      <c r="F32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3" s="26"/>
      <c r="H323" s="33" t="str">
        <f>IF(Expenses[[#This Row],[Monthly Amount]]&lt;&gt;"",Expenses[[#This Row],[Monthly Amount]]/Income,"")</f>
        <v/>
      </c>
    </row>
    <row r="324" spans="2:8" ht="24" customHeight="1" x14ac:dyDescent="0.45">
      <c r="B324" s="31"/>
      <c r="C324" s="31"/>
      <c r="D324" s="32"/>
      <c r="E324" s="31"/>
      <c r="F32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4" s="26"/>
      <c r="H324" s="33" t="str">
        <f>IF(Expenses[[#This Row],[Monthly Amount]]&lt;&gt;"",Expenses[[#This Row],[Monthly Amount]]/Income,"")</f>
        <v/>
      </c>
    </row>
    <row r="325" spans="2:8" ht="24" customHeight="1" x14ac:dyDescent="0.45">
      <c r="B325" s="31"/>
      <c r="C325" s="31"/>
      <c r="D325" s="32"/>
      <c r="E325" s="31"/>
      <c r="F32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5" s="26"/>
      <c r="H325" s="33" t="str">
        <f>IF(Expenses[[#This Row],[Monthly Amount]]&lt;&gt;"",Expenses[[#This Row],[Monthly Amount]]/Income,"")</f>
        <v/>
      </c>
    </row>
    <row r="326" spans="2:8" ht="24" customHeight="1" x14ac:dyDescent="0.45">
      <c r="B326" s="31"/>
      <c r="C326" s="31"/>
      <c r="D326" s="32"/>
      <c r="E326" s="31"/>
      <c r="F32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6" s="26"/>
      <c r="H326" s="33" t="str">
        <f>IF(Expenses[[#This Row],[Monthly Amount]]&lt;&gt;"",Expenses[[#This Row],[Monthly Amount]]/Income,"")</f>
        <v/>
      </c>
    </row>
    <row r="327" spans="2:8" ht="24" customHeight="1" x14ac:dyDescent="0.45">
      <c r="B327" s="31"/>
      <c r="C327" s="31"/>
      <c r="D327" s="32"/>
      <c r="E327" s="31"/>
      <c r="F32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7" s="26"/>
      <c r="H327" s="33" t="str">
        <f>IF(Expenses[[#This Row],[Monthly Amount]]&lt;&gt;"",Expenses[[#This Row],[Monthly Amount]]/Income,"")</f>
        <v/>
      </c>
    </row>
    <row r="328" spans="2:8" ht="24" customHeight="1" x14ac:dyDescent="0.45">
      <c r="B328" s="31"/>
      <c r="C328" s="31"/>
      <c r="D328" s="32"/>
      <c r="E328" s="31"/>
      <c r="F32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8" s="26"/>
      <c r="H328" s="33" t="str">
        <f>IF(Expenses[[#This Row],[Monthly Amount]]&lt;&gt;"",Expenses[[#This Row],[Monthly Amount]]/Income,"")</f>
        <v/>
      </c>
    </row>
    <row r="329" spans="2:8" ht="24" customHeight="1" x14ac:dyDescent="0.45">
      <c r="B329" s="31"/>
      <c r="C329" s="31"/>
      <c r="D329" s="32"/>
      <c r="E329" s="31"/>
      <c r="F32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29" s="26"/>
      <c r="H329" s="33" t="str">
        <f>IF(Expenses[[#This Row],[Monthly Amount]]&lt;&gt;"",Expenses[[#This Row],[Monthly Amount]]/Income,"")</f>
        <v/>
      </c>
    </row>
    <row r="330" spans="2:8" ht="24" customHeight="1" x14ac:dyDescent="0.45">
      <c r="B330" s="31"/>
      <c r="C330" s="31"/>
      <c r="D330" s="32"/>
      <c r="E330" s="31"/>
      <c r="F33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0" s="26"/>
      <c r="H330" s="33" t="str">
        <f>IF(Expenses[[#This Row],[Monthly Amount]]&lt;&gt;"",Expenses[[#This Row],[Monthly Amount]]/Income,"")</f>
        <v/>
      </c>
    </row>
    <row r="331" spans="2:8" ht="24" customHeight="1" x14ac:dyDescent="0.45">
      <c r="B331" s="31"/>
      <c r="C331" s="31"/>
      <c r="D331" s="32"/>
      <c r="E331" s="31"/>
      <c r="F33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1" s="26"/>
      <c r="H331" s="33" t="str">
        <f>IF(Expenses[[#This Row],[Monthly Amount]]&lt;&gt;"",Expenses[[#This Row],[Monthly Amount]]/Income,"")</f>
        <v/>
      </c>
    </row>
    <row r="332" spans="2:8" ht="24" customHeight="1" x14ac:dyDescent="0.45">
      <c r="B332" s="31"/>
      <c r="C332" s="31"/>
      <c r="D332" s="32"/>
      <c r="E332" s="31"/>
      <c r="F33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2" s="26"/>
      <c r="H332" s="33" t="str">
        <f>IF(Expenses[[#This Row],[Monthly Amount]]&lt;&gt;"",Expenses[[#This Row],[Monthly Amount]]/Income,"")</f>
        <v/>
      </c>
    </row>
    <row r="333" spans="2:8" ht="24" customHeight="1" x14ac:dyDescent="0.45">
      <c r="B333" s="31"/>
      <c r="C333" s="31"/>
      <c r="D333" s="32"/>
      <c r="E333" s="31"/>
      <c r="F33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3" s="26"/>
      <c r="H333" s="33" t="str">
        <f>IF(Expenses[[#This Row],[Monthly Amount]]&lt;&gt;"",Expenses[[#This Row],[Monthly Amount]]/Income,"")</f>
        <v/>
      </c>
    </row>
    <row r="334" spans="2:8" ht="24" customHeight="1" x14ac:dyDescent="0.45">
      <c r="B334" s="31"/>
      <c r="C334" s="31"/>
      <c r="D334" s="32"/>
      <c r="E334" s="31"/>
      <c r="F33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4" s="26"/>
      <c r="H334" s="33" t="str">
        <f>IF(Expenses[[#This Row],[Monthly Amount]]&lt;&gt;"",Expenses[[#This Row],[Monthly Amount]]/Income,"")</f>
        <v/>
      </c>
    </row>
    <row r="335" spans="2:8" ht="24" customHeight="1" x14ac:dyDescent="0.45">
      <c r="B335" s="31"/>
      <c r="C335" s="31"/>
      <c r="D335" s="32"/>
      <c r="E335" s="31"/>
      <c r="F33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5" s="26"/>
      <c r="H335" s="33" t="str">
        <f>IF(Expenses[[#This Row],[Monthly Amount]]&lt;&gt;"",Expenses[[#This Row],[Monthly Amount]]/Income,"")</f>
        <v/>
      </c>
    </row>
    <row r="336" spans="2:8" ht="24" customHeight="1" x14ac:dyDescent="0.45">
      <c r="B336" s="31"/>
      <c r="C336" s="31"/>
      <c r="D336" s="32"/>
      <c r="E336" s="31"/>
      <c r="F33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6" s="26"/>
      <c r="H336" s="33" t="str">
        <f>IF(Expenses[[#This Row],[Monthly Amount]]&lt;&gt;"",Expenses[[#This Row],[Monthly Amount]]/Income,"")</f>
        <v/>
      </c>
    </row>
    <row r="337" spans="2:8" ht="24" customHeight="1" x14ac:dyDescent="0.45">
      <c r="B337" s="31"/>
      <c r="C337" s="31"/>
      <c r="D337" s="32"/>
      <c r="E337" s="31"/>
      <c r="F33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7" s="26"/>
      <c r="H337" s="33" t="str">
        <f>IF(Expenses[[#This Row],[Monthly Amount]]&lt;&gt;"",Expenses[[#This Row],[Monthly Amount]]/Income,"")</f>
        <v/>
      </c>
    </row>
    <row r="338" spans="2:8" ht="24" customHeight="1" x14ac:dyDescent="0.45">
      <c r="B338" s="31"/>
      <c r="C338" s="31"/>
      <c r="D338" s="32"/>
      <c r="E338" s="31"/>
      <c r="F33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8" s="26"/>
      <c r="H338" s="33" t="str">
        <f>IF(Expenses[[#This Row],[Monthly Amount]]&lt;&gt;"",Expenses[[#This Row],[Monthly Amount]]/Income,"")</f>
        <v/>
      </c>
    </row>
    <row r="339" spans="2:8" ht="24" customHeight="1" x14ac:dyDescent="0.45">
      <c r="B339" s="31"/>
      <c r="C339" s="31"/>
      <c r="D339" s="32"/>
      <c r="E339" s="31"/>
      <c r="F33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39" s="26"/>
      <c r="H339" s="33" t="str">
        <f>IF(Expenses[[#This Row],[Monthly Amount]]&lt;&gt;"",Expenses[[#This Row],[Monthly Amount]]/Income,"")</f>
        <v/>
      </c>
    </row>
    <row r="340" spans="2:8" ht="24" customHeight="1" x14ac:dyDescent="0.45">
      <c r="B340" s="31"/>
      <c r="C340" s="31"/>
      <c r="D340" s="32"/>
      <c r="E340" s="31"/>
      <c r="F34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0" s="26"/>
      <c r="H340" s="33" t="str">
        <f>IF(Expenses[[#This Row],[Monthly Amount]]&lt;&gt;"",Expenses[[#This Row],[Monthly Amount]]/Income,"")</f>
        <v/>
      </c>
    </row>
    <row r="341" spans="2:8" ht="24" customHeight="1" x14ac:dyDescent="0.45">
      <c r="B341" s="31"/>
      <c r="C341" s="31"/>
      <c r="D341" s="32"/>
      <c r="E341" s="31"/>
      <c r="F34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1" s="26"/>
      <c r="H341" s="33" t="str">
        <f>IF(Expenses[[#This Row],[Monthly Amount]]&lt;&gt;"",Expenses[[#This Row],[Monthly Amount]]/Income,"")</f>
        <v/>
      </c>
    </row>
    <row r="342" spans="2:8" ht="24" customHeight="1" x14ac:dyDescent="0.45">
      <c r="B342" s="31"/>
      <c r="C342" s="31"/>
      <c r="D342" s="32"/>
      <c r="E342" s="31"/>
      <c r="F34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2" s="26"/>
      <c r="H342" s="33" t="str">
        <f>IF(Expenses[[#This Row],[Monthly Amount]]&lt;&gt;"",Expenses[[#This Row],[Monthly Amount]]/Income,"")</f>
        <v/>
      </c>
    </row>
    <row r="343" spans="2:8" ht="24" customHeight="1" x14ac:dyDescent="0.45">
      <c r="B343" s="31"/>
      <c r="C343" s="31"/>
      <c r="D343" s="32"/>
      <c r="E343" s="31"/>
      <c r="F34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3" s="26"/>
      <c r="H343" s="33" t="str">
        <f>IF(Expenses[[#This Row],[Monthly Amount]]&lt;&gt;"",Expenses[[#This Row],[Monthly Amount]]/Income,"")</f>
        <v/>
      </c>
    </row>
    <row r="344" spans="2:8" ht="24" customHeight="1" x14ac:dyDescent="0.45">
      <c r="B344" s="31"/>
      <c r="C344" s="31"/>
      <c r="D344" s="32"/>
      <c r="E344" s="31"/>
      <c r="F34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4" s="26"/>
      <c r="H344" s="33" t="str">
        <f>IF(Expenses[[#This Row],[Monthly Amount]]&lt;&gt;"",Expenses[[#This Row],[Monthly Amount]]/Income,"")</f>
        <v/>
      </c>
    </row>
    <row r="345" spans="2:8" ht="24" customHeight="1" x14ac:dyDescent="0.45">
      <c r="B345" s="31"/>
      <c r="C345" s="31"/>
      <c r="D345" s="32"/>
      <c r="E345" s="31"/>
      <c r="F34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5" s="26"/>
      <c r="H345" s="33" t="str">
        <f>IF(Expenses[[#This Row],[Monthly Amount]]&lt;&gt;"",Expenses[[#This Row],[Monthly Amount]]/Income,"")</f>
        <v/>
      </c>
    </row>
    <row r="346" spans="2:8" ht="24" customHeight="1" x14ac:dyDescent="0.45">
      <c r="B346" s="31"/>
      <c r="C346" s="31"/>
      <c r="D346" s="32"/>
      <c r="E346" s="31"/>
      <c r="F34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6" s="26"/>
      <c r="H346" s="33" t="str">
        <f>IF(Expenses[[#This Row],[Monthly Amount]]&lt;&gt;"",Expenses[[#This Row],[Monthly Amount]]/Income,"")</f>
        <v/>
      </c>
    </row>
    <row r="347" spans="2:8" ht="24" customHeight="1" x14ac:dyDescent="0.45">
      <c r="B347" s="31"/>
      <c r="C347" s="31"/>
      <c r="D347" s="32"/>
      <c r="E347" s="31"/>
      <c r="F34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7" s="26"/>
      <c r="H347" s="33" t="str">
        <f>IF(Expenses[[#This Row],[Monthly Amount]]&lt;&gt;"",Expenses[[#This Row],[Monthly Amount]]/Income,"")</f>
        <v/>
      </c>
    </row>
    <row r="348" spans="2:8" ht="24" customHeight="1" x14ac:dyDescent="0.45">
      <c r="B348" s="31"/>
      <c r="C348" s="31"/>
      <c r="D348" s="32"/>
      <c r="E348" s="31"/>
      <c r="F34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8" s="26"/>
      <c r="H348" s="33" t="str">
        <f>IF(Expenses[[#This Row],[Monthly Amount]]&lt;&gt;"",Expenses[[#This Row],[Monthly Amount]]/Income,"")</f>
        <v/>
      </c>
    </row>
    <row r="349" spans="2:8" ht="24" customHeight="1" x14ac:dyDescent="0.45">
      <c r="B349" s="31"/>
      <c r="C349" s="31"/>
      <c r="D349" s="32"/>
      <c r="E349" s="31"/>
      <c r="F34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49" s="26"/>
      <c r="H349" s="33" t="str">
        <f>IF(Expenses[[#This Row],[Monthly Amount]]&lt;&gt;"",Expenses[[#This Row],[Monthly Amount]]/Income,"")</f>
        <v/>
      </c>
    </row>
    <row r="350" spans="2:8" ht="24" customHeight="1" x14ac:dyDescent="0.45">
      <c r="B350" s="31"/>
      <c r="C350" s="31"/>
      <c r="D350" s="32"/>
      <c r="E350" s="31"/>
      <c r="F35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0" s="26"/>
      <c r="H350" s="33" t="str">
        <f>IF(Expenses[[#This Row],[Monthly Amount]]&lt;&gt;"",Expenses[[#This Row],[Monthly Amount]]/Income,"")</f>
        <v/>
      </c>
    </row>
    <row r="351" spans="2:8" ht="24" customHeight="1" x14ac:dyDescent="0.45">
      <c r="B351" s="31"/>
      <c r="C351" s="31"/>
      <c r="D351" s="32"/>
      <c r="E351" s="31"/>
      <c r="F35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1" s="26"/>
      <c r="H351" s="33" t="str">
        <f>IF(Expenses[[#This Row],[Monthly Amount]]&lt;&gt;"",Expenses[[#This Row],[Monthly Amount]]/Income,"")</f>
        <v/>
      </c>
    </row>
    <row r="352" spans="2:8" ht="24" customHeight="1" x14ac:dyDescent="0.45">
      <c r="B352" s="31"/>
      <c r="C352" s="31"/>
      <c r="D352" s="32"/>
      <c r="E352" s="31"/>
      <c r="F35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2" s="26"/>
      <c r="H352" s="33" t="str">
        <f>IF(Expenses[[#This Row],[Monthly Amount]]&lt;&gt;"",Expenses[[#This Row],[Monthly Amount]]/Income,"")</f>
        <v/>
      </c>
    </row>
    <row r="353" spans="2:8" ht="24" customHeight="1" x14ac:dyDescent="0.45">
      <c r="B353" s="31"/>
      <c r="C353" s="31"/>
      <c r="D353" s="32"/>
      <c r="E353" s="31"/>
      <c r="F35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3" s="26"/>
      <c r="H353" s="33" t="str">
        <f>IF(Expenses[[#This Row],[Monthly Amount]]&lt;&gt;"",Expenses[[#This Row],[Monthly Amount]]/Income,"")</f>
        <v/>
      </c>
    </row>
    <row r="354" spans="2:8" ht="24" customHeight="1" x14ac:dyDescent="0.45">
      <c r="B354" s="31"/>
      <c r="C354" s="31"/>
      <c r="D354" s="32"/>
      <c r="E354" s="31"/>
      <c r="F35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4" s="26"/>
      <c r="H354" s="33" t="str">
        <f>IF(Expenses[[#This Row],[Monthly Amount]]&lt;&gt;"",Expenses[[#This Row],[Monthly Amount]]/Income,"")</f>
        <v/>
      </c>
    </row>
    <row r="355" spans="2:8" ht="24" customHeight="1" x14ac:dyDescent="0.45">
      <c r="B355" s="31"/>
      <c r="C355" s="31"/>
      <c r="D355" s="32"/>
      <c r="E355" s="31"/>
      <c r="F35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5" s="26"/>
      <c r="H355" s="33" t="str">
        <f>IF(Expenses[[#This Row],[Monthly Amount]]&lt;&gt;"",Expenses[[#This Row],[Monthly Amount]]/Income,"")</f>
        <v/>
      </c>
    </row>
    <row r="356" spans="2:8" ht="24" customHeight="1" x14ac:dyDescent="0.45">
      <c r="B356" s="31"/>
      <c r="C356" s="31"/>
      <c r="D356" s="32"/>
      <c r="E356" s="31"/>
      <c r="F35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6" s="26"/>
      <c r="H356" s="33" t="str">
        <f>IF(Expenses[[#This Row],[Monthly Amount]]&lt;&gt;"",Expenses[[#This Row],[Monthly Amount]]/Income,"")</f>
        <v/>
      </c>
    </row>
    <row r="357" spans="2:8" ht="24" customHeight="1" x14ac:dyDescent="0.45">
      <c r="B357" s="31"/>
      <c r="C357" s="31"/>
      <c r="D357" s="32"/>
      <c r="E357" s="31"/>
      <c r="F35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7" s="26"/>
      <c r="H357" s="33" t="str">
        <f>IF(Expenses[[#This Row],[Monthly Amount]]&lt;&gt;"",Expenses[[#This Row],[Monthly Amount]]/Income,"")</f>
        <v/>
      </c>
    </row>
    <row r="358" spans="2:8" ht="24" customHeight="1" x14ac:dyDescent="0.45">
      <c r="B358" s="31"/>
      <c r="C358" s="31"/>
      <c r="D358" s="32"/>
      <c r="E358" s="31"/>
      <c r="F35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8" s="26"/>
      <c r="H358" s="33" t="str">
        <f>IF(Expenses[[#This Row],[Monthly Amount]]&lt;&gt;"",Expenses[[#This Row],[Monthly Amount]]/Income,"")</f>
        <v/>
      </c>
    </row>
    <row r="359" spans="2:8" ht="24" customHeight="1" x14ac:dyDescent="0.45">
      <c r="B359" s="31"/>
      <c r="C359" s="31"/>
      <c r="D359" s="32"/>
      <c r="E359" s="31"/>
      <c r="F35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59" s="26"/>
      <c r="H359" s="33" t="str">
        <f>IF(Expenses[[#This Row],[Monthly Amount]]&lt;&gt;"",Expenses[[#This Row],[Monthly Amount]]/Income,"")</f>
        <v/>
      </c>
    </row>
    <row r="360" spans="2:8" ht="24" customHeight="1" x14ac:dyDescent="0.45">
      <c r="B360" s="31"/>
      <c r="C360" s="31"/>
      <c r="D360" s="32"/>
      <c r="E360" s="31"/>
      <c r="F36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0" s="26"/>
      <c r="H360" s="33" t="str">
        <f>IF(Expenses[[#This Row],[Monthly Amount]]&lt;&gt;"",Expenses[[#This Row],[Monthly Amount]]/Income,"")</f>
        <v/>
      </c>
    </row>
    <row r="361" spans="2:8" ht="24" customHeight="1" x14ac:dyDescent="0.45">
      <c r="B361" s="31"/>
      <c r="C361" s="31"/>
      <c r="D361" s="32"/>
      <c r="E361" s="31"/>
      <c r="F36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1" s="26"/>
      <c r="H361" s="33" t="str">
        <f>IF(Expenses[[#This Row],[Monthly Amount]]&lt;&gt;"",Expenses[[#This Row],[Monthly Amount]]/Income,"")</f>
        <v/>
      </c>
    </row>
    <row r="362" spans="2:8" ht="24" customHeight="1" x14ac:dyDescent="0.45">
      <c r="B362" s="31"/>
      <c r="C362" s="31"/>
      <c r="D362" s="32"/>
      <c r="E362" s="31"/>
      <c r="F36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2" s="26"/>
      <c r="H362" s="33" t="str">
        <f>IF(Expenses[[#This Row],[Monthly Amount]]&lt;&gt;"",Expenses[[#This Row],[Monthly Amount]]/Income,"")</f>
        <v/>
      </c>
    </row>
    <row r="363" spans="2:8" ht="24" customHeight="1" x14ac:dyDescent="0.45">
      <c r="B363" s="31"/>
      <c r="C363" s="31"/>
      <c r="D363" s="32"/>
      <c r="E363" s="31"/>
      <c r="F36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3" s="26"/>
      <c r="H363" s="33" t="str">
        <f>IF(Expenses[[#This Row],[Monthly Amount]]&lt;&gt;"",Expenses[[#This Row],[Monthly Amount]]/Income,"")</f>
        <v/>
      </c>
    </row>
    <row r="364" spans="2:8" ht="24" customHeight="1" x14ac:dyDescent="0.45">
      <c r="B364" s="31"/>
      <c r="C364" s="31"/>
      <c r="D364" s="32"/>
      <c r="E364" s="31"/>
      <c r="F36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4" s="26"/>
      <c r="H364" s="33" t="str">
        <f>IF(Expenses[[#This Row],[Monthly Amount]]&lt;&gt;"",Expenses[[#This Row],[Monthly Amount]]/Income,"")</f>
        <v/>
      </c>
    </row>
    <row r="365" spans="2:8" ht="24" customHeight="1" x14ac:dyDescent="0.45">
      <c r="B365" s="31"/>
      <c r="C365" s="31"/>
      <c r="D365" s="32"/>
      <c r="E365" s="31"/>
      <c r="F36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5" s="26"/>
      <c r="H365" s="33" t="str">
        <f>IF(Expenses[[#This Row],[Monthly Amount]]&lt;&gt;"",Expenses[[#This Row],[Monthly Amount]]/Income,"")</f>
        <v/>
      </c>
    </row>
    <row r="366" spans="2:8" ht="24" customHeight="1" x14ac:dyDescent="0.45">
      <c r="B366" s="31"/>
      <c r="C366" s="31"/>
      <c r="D366" s="32"/>
      <c r="E366" s="31"/>
      <c r="F36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6" s="26"/>
      <c r="H366" s="33" t="str">
        <f>IF(Expenses[[#This Row],[Monthly Amount]]&lt;&gt;"",Expenses[[#This Row],[Monthly Amount]]/Income,"")</f>
        <v/>
      </c>
    </row>
    <row r="367" spans="2:8" ht="24" customHeight="1" x14ac:dyDescent="0.45">
      <c r="B367" s="31"/>
      <c r="C367" s="31"/>
      <c r="D367" s="32"/>
      <c r="E367" s="31"/>
      <c r="F36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7" s="26"/>
      <c r="H367" s="33" t="str">
        <f>IF(Expenses[[#This Row],[Monthly Amount]]&lt;&gt;"",Expenses[[#This Row],[Monthly Amount]]/Income,"")</f>
        <v/>
      </c>
    </row>
    <row r="368" spans="2:8" ht="24" customHeight="1" x14ac:dyDescent="0.45">
      <c r="B368" s="31"/>
      <c r="C368" s="31"/>
      <c r="D368" s="32"/>
      <c r="E368" s="31"/>
      <c r="F36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8" s="26"/>
      <c r="H368" s="33" t="str">
        <f>IF(Expenses[[#This Row],[Monthly Amount]]&lt;&gt;"",Expenses[[#This Row],[Monthly Amount]]/Income,"")</f>
        <v/>
      </c>
    </row>
    <row r="369" spans="2:8" ht="24" customHeight="1" x14ac:dyDescent="0.45">
      <c r="B369" s="31"/>
      <c r="C369" s="31"/>
      <c r="D369" s="32"/>
      <c r="E369" s="31"/>
      <c r="F36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69" s="26"/>
      <c r="H369" s="33" t="str">
        <f>IF(Expenses[[#This Row],[Monthly Amount]]&lt;&gt;"",Expenses[[#This Row],[Monthly Amount]]/Income,"")</f>
        <v/>
      </c>
    </row>
    <row r="370" spans="2:8" ht="24" customHeight="1" x14ac:dyDescent="0.45">
      <c r="B370" s="31"/>
      <c r="C370" s="31"/>
      <c r="D370" s="32"/>
      <c r="E370" s="31"/>
      <c r="F37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0" s="26"/>
      <c r="H370" s="33" t="str">
        <f>IF(Expenses[[#This Row],[Monthly Amount]]&lt;&gt;"",Expenses[[#This Row],[Monthly Amount]]/Income,"")</f>
        <v/>
      </c>
    </row>
    <row r="371" spans="2:8" ht="24" customHeight="1" x14ac:dyDescent="0.45">
      <c r="B371" s="31"/>
      <c r="C371" s="31"/>
      <c r="D371" s="32"/>
      <c r="E371" s="31"/>
      <c r="F37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1" s="26"/>
      <c r="H371" s="33" t="str">
        <f>IF(Expenses[[#This Row],[Monthly Amount]]&lt;&gt;"",Expenses[[#This Row],[Monthly Amount]]/Income,"")</f>
        <v/>
      </c>
    </row>
    <row r="372" spans="2:8" ht="24" customHeight="1" x14ac:dyDescent="0.45">
      <c r="B372" s="31"/>
      <c r="C372" s="31"/>
      <c r="D372" s="32"/>
      <c r="E372" s="31"/>
      <c r="F37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2" s="26"/>
      <c r="H372" s="33" t="str">
        <f>IF(Expenses[[#This Row],[Monthly Amount]]&lt;&gt;"",Expenses[[#This Row],[Monthly Amount]]/Income,"")</f>
        <v/>
      </c>
    </row>
    <row r="373" spans="2:8" ht="24" customHeight="1" x14ac:dyDescent="0.45">
      <c r="B373" s="31"/>
      <c r="C373" s="31"/>
      <c r="D373" s="32"/>
      <c r="E373" s="31"/>
      <c r="F37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3" s="26"/>
      <c r="H373" s="33" t="str">
        <f>IF(Expenses[[#This Row],[Monthly Amount]]&lt;&gt;"",Expenses[[#This Row],[Monthly Amount]]/Income,"")</f>
        <v/>
      </c>
    </row>
    <row r="374" spans="2:8" ht="24" customHeight="1" x14ac:dyDescent="0.45">
      <c r="B374" s="31"/>
      <c r="C374" s="31"/>
      <c r="D374" s="32"/>
      <c r="E374" s="31"/>
      <c r="F37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4" s="26"/>
      <c r="H374" s="33" t="str">
        <f>IF(Expenses[[#This Row],[Monthly Amount]]&lt;&gt;"",Expenses[[#This Row],[Monthly Amount]]/Income,"")</f>
        <v/>
      </c>
    </row>
    <row r="375" spans="2:8" ht="24" customHeight="1" x14ac:dyDescent="0.45">
      <c r="B375" s="31"/>
      <c r="C375" s="31"/>
      <c r="D375" s="32"/>
      <c r="E375" s="31"/>
      <c r="F37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5" s="26"/>
      <c r="H375" s="33" t="str">
        <f>IF(Expenses[[#This Row],[Monthly Amount]]&lt;&gt;"",Expenses[[#This Row],[Monthly Amount]]/Income,"")</f>
        <v/>
      </c>
    </row>
    <row r="376" spans="2:8" ht="24" customHeight="1" x14ac:dyDescent="0.45">
      <c r="B376" s="31"/>
      <c r="C376" s="31"/>
      <c r="D376" s="32"/>
      <c r="E376" s="31"/>
      <c r="F37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6" s="26"/>
      <c r="H376" s="33" t="str">
        <f>IF(Expenses[[#This Row],[Monthly Amount]]&lt;&gt;"",Expenses[[#This Row],[Monthly Amount]]/Income,"")</f>
        <v/>
      </c>
    </row>
    <row r="377" spans="2:8" ht="24" customHeight="1" x14ac:dyDescent="0.45">
      <c r="B377" s="31"/>
      <c r="C377" s="31"/>
      <c r="D377" s="32"/>
      <c r="E377" s="31"/>
      <c r="F37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7" s="26"/>
      <c r="H377" s="33" t="str">
        <f>IF(Expenses[[#This Row],[Monthly Amount]]&lt;&gt;"",Expenses[[#This Row],[Monthly Amount]]/Income,"")</f>
        <v/>
      </c>
    </row>
    <row r="378" spans="2:8" ht="24" customHeight="1" x14ac:dyDescent="0.45">
      <c r="B378" s="31"/>
      <c r="C378" s="31"/>
      <c r="D378" s="32"/>
      <c r="E378" s="31"/>
      <c r="F37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8" s="26"/>
      <c r="H378" s="33" t="str">
        <f>IF(Expenses[[#This Row],[Monthly Amount]]&lt;&gt;"",Expenses[[#This Row],[Monthly Amount]]/Income,"")</f>
        <v/>
      </c>
    </row>
    <row r="379" spans="2:8" ht="24" customHeight="1" x14ac:dyDescent="0.45">
      <c r="B379" s="31"/>
      <c r="C379" s="31"/>
      <c r="D379" s="32"/>
      <c r="E379" s="31"/>
      <c r="F37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79" s="26"/>
      <c r="H379" s="33" t="str">
        <f>IF(Expenses[[#This Row],[Monthly Amount]]&lt;&gt;"",Expenses[[#This Row],[Monthly Amount]]/Income,"")</f>
        <v/>
      </c>
    </row>
    <row r="380" spans="2:8" ht="24" customHeight="1" x14ac:dyDescent="0.45">
      <c r="B380" s="31"/>
      <c r="C380" s="31"/>
      <c r="D380" s="32"/>
      <c r="E380" s="31"/>
      <c r="F38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0" s="26"/>
      <c r="H380" s="33" t="str">
        <f>IF(Expenses[[#This Row],[Monthly Amount]]&lt;&gt;"",Expenses[[#This Row],[Monthly Amount]]/Income,"")</f>
        <v/>
      </c>
    </row>
    <row r="381" spans="2:8" ht="24" customHeight="1" x14ac:dyDescent="0.45">
      <c r="B381" s="31"/>
      <c r="C381" s="31"/>
      <c r="D381" s="32"/>
      <c r="E381" s="31"/>
      <c r="F38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1" s="26"/>
      <c r="H381" s="33" t="str">
        <f>IF(Expenses[[#This Row],[Monthly Amount]]&lt;&gt;"",Expenses[[#This Row],[Monthly Amount]]/Income,"")</f>
        <v/>
      </c>
    </row>
    <row r="382" spans="2:8" ht="24" customHeight="1" x14ac:dyDescent="0.45">
      <c r="B382" s="31"/>
      <c r="C382" s="31"/>
      <c r="D382" s="32"/>
      <c r="E382" s="31"/>
      <c r="F38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2" s="26"/>
      <c r="H382" s="33" t="str">
        <f>IF(Expenses[[#This Row],[Monthly Amount]]&lt;&gt;"",Expenses[[#This Row],[Monthly Amount]]/Income,"")</f>
        <v/>
      </c>
    </row>
    <row r="383" spans="2:8" ht="24" customHeight="1" x14ac:dyDescent="0.45">
      <c r="B383" s="31"/>
      <c r="C383" s="31"/>
      <c r="D383" s="32"/>
      <c r="E383" s="31"/>
      <c r="F38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3" s="26"/>
      <c r="H383" s="33" t="str">
        <f>IF(Expenses[[#This Row],[Monthly Amount]]&lt;&gt;"",Expenses[[#This Row],[Monthly Amount]]/Income,"")</f>
        <v/>
      </c>
    </row>
    <row r="384" spans="2:8" ht="24" customHeight="1" x14ac:dyDescent="0.45">
      <c r="B384" s="31"/>
      <c r="C384" s="31"/>
      <c r="D384" s="32"/>
      <c r="E384" s="31"/>
      <c r="F38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4" s="26"/>
      <c r="H384" s="33" t="str">
        <f>IF(Expenses[[#This Row],[Monthly Amount]]&lt;&gt;"",Expenses[[#This Row],[Monthly Amount]]/Income,"")</f>
        <v/>
      </c>
    </row>
    <row r="385" spans="2:8" ht="24" customHeight="1" x14ac:dyDescent="0.45">
      <c r="B385" s="31"/>
      <c r="C385" s="31"/>
      <c r="D385" s="32"/>
      <c r="E385" s="31"/>
      <c r="F38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5" s="26"/>
      <c r="H385" s="33" t="str">
        <f>IF(Expenses[[#This Row],[Monthly Amount]]&lt;&gt;"",Expenses[[#This Row],[Monthly Amount]]/Income,"")</f>
        <v/>
      </c>
    </row>
    <row r="386" spans="2:8" ht="24" customHeight="1" x14ac:dyDescent="0.45">
      <c r="B386" s="31"/>
      <c r="C386" s="31"/>
      <c r="D386" s="32"/>
      <c r="E386" s="31"/>
      <c r="F38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6" s="26"/>
      <c r="H386" s="33" t="str">
        <f>IF(Expenses[[#This Row],[Monthly Amount]]&lt;&gt;"",Expenses[[#This Row],[Monthly Amount]]/Income,"")</f>
        <v/>
      </c>
    </row>
    <row r="387" spans="2:8" ht="24" customHeight="1" x14ac:dyDescent="0.45">
      <c r="B387" s="31"/>
      <c r="C387" s="31"/>
      <c r="D387" s="32"/>
      <c r="E387" s="31"/>
      <c r="F38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7" s="26"/>
      <c r="H387" s="33" t="str">
        <f>IF(Expenses[[#This Row],[Monthly Amount]]&lt;&gt;"",Expenses[[#This Row],[Monthly Amount]]/Income,"")</f>
        <v/>
      </c>
    </row>
    <row r="388" spans="2:8" ht="24" customHeight="1" x14ac:dyDescent="0.45">
      <c r="B388" s="31"/>
      <c r="C388" s="31"/>
      <c r="D388" s="32"/>
      <c r="E388" s="31"/>
      <c r="F38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8" s="26"/>
      <c r="H388" s="33" t="str">
        <f>IF(Expenses[[#This Row],[Monthly Amount]]&lt;&gt;"",Expenses[[#This Row],[Monthly Amount]]/Income,"")</f>
        <v/>
      </c>
    </row>
    <row r="389" spans="2:8" ht="24" customHeight="1" x14ac:dyDescent="0.45">
      <c r="B389" s="31"/>
      <c r="C389" s="31"/>
      <c r="D389" s="32"/>
      <c r="E389" s="31"/>
      <c r="F38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89" s="26"/>
      <c r="H389" s="33" t="str">
        <f>IF(Expenses[[#This Row],[Monthly Amount]]&lt;&gt;"",Expenses[[#This Row],[Monthly Amount]]/Income,"")</f>
        <v/>
      </c>
    </row>
    <row r="390" spans="2:8" ht="24" customHeight="1" x14ac:dyDescent="0.45">
      <c r="B390" s="31"/>
      <c r="C390" s="31"/>
      <c r="D390" s="32"/>
      <c r="E390" s="31"/>
      <c r="F39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0" s="26"/>
      <c r="H390" s="33" t="str">
        <f>IF(Expenses[[#This Row],[Monthly Amount]]&lt;&gt;"",Expenses[[#This Row],[Monthly Amount]]/Income,"")</f>
        <v/>
      </c>
    </row>
    <row r="391" spans="2:8" ht="24" customHeight="1" x14ac:dyDescent="0.45">
      <c r="B391" s="31"/>
      <c r="C391" s="31"/>
      <c r="D391" s="32"/>
      <c r="E391" s="31"/>
      <c r="F39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1" s="26"/>
      <c r="H391" s="33" t="str">
        <f>IF(Expenses[[#This Row],[Monthly Amount]]&lt;&gt;"",Expenses[[#This Row],[Monthly Amount]]/Income,"")</f>
        <v/>
      </c>
    </row>
    <row r="392" spans="2:8" ht="24" customHeight="1" x14ac:dyDescent="0.45">
      <c r="B392" s="31"/>
      <c r="C392" s="31"/>
      <c r="D392" s="32"/>
      <c r="E392" s="31"/>
      <c r="F39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2" s="26"/>
      <c r="H392" s="33" t="str">
        <f>IF(Expenses[[#This Row],[Monthly Amount]]&lt;&gt;"",Expenses[[#This Row],[Monthly Amount]]/Income,"")</f>
        <v/>
      </c>
    </row>
    <row r="393" spans="2:8" ht="24" customHeight="1" x14ac:dyDescent="0.45">
      <c r="B393" s="31"/>
      <c r="C393" s="31"/>
      <c r="D393" s="32"/>
      <c r="E393" s="31"/>
      <c r="F39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3" s="26"/>
      <c r="H393" s="33" t="str">
        <f>IF(Expenses[[#This Row],[Monthly Amount]]&lt;&gt;"",Expenses[[#This Row],[Monthly Amount]]/Income,"")</f>
        <v/>
      </c>
    </row>
    <row r="394" spans="2:8" ht="24" customHeight="1" x14ac:dyDescent="0.45">
      <c r="B394" s="31"/>
      <c r="C394" s="31"/>
      <c r="D394" s="32"/>
      <c r="E394" s="31"/>
      <c r="F39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4" s="26"/>
      <c r="H394" s="33" t="str">
        <f>IF(Expenses[[#This Row],[Monthly Amount]]&lt;&gt;"",Expenses[[#This Row],[Monthly Amount]]/Income,"")</f>
        <v/>
      </c>
    </row>
    <row r="395" spans="2:8" ht="24" customHeight="1" x14ac:dyDescent="0.45">
      <c r="B395" s="31"/>
      <c r="C395" s="31"/>
      <c r="D395" s="32"/>
      <c r="E395" s="31"/>
      <c r="F39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5" s="26"/>
      <c r="H395" s="33" t="str">
        <f>IF(Expenses[[#This Row],[Monthly Amount]]&lt;&gt;"",Expenses[[#This Row],[Monthly Amount]]/Income,"")</f>
        <v/>
      </c>
    </row>
    <row r="396" spans="2:8" ht="24" customHeight="1" x14ac:dyDescent="0.45">
      <c r="B396" s="31"/>
      <c r="C396" s="31"/>
      <c r="D396" s="32"/>
      <c r="E396" s="31"/>
      <c r="F39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6" s="26"/>
      <c r="H396" s="33" t="str">
        <f>IF(Expenses[[#This Row],[Monthly Amount]]&lt;&gt;"",Expenses[[#This Row],[Monthly Amount]]/Income,"")</f>
        <v/>
      </c>
    </row>
    <row r="397" spans="2:8" ht="24" customHeight="1" x14ac:dyDescent="0.45">
      <c r="B397" s="31"/>
      <c r="C397" s="31"/>
      <c r="D397" s="32"/>
      <c r="E397" s="31"/>
      <c r="F39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7" s="26"/>
      <c r="H397" s="33" t="str">
        <f>IF(Expenses[[#This Row],[Monthly Amount]]&lt;&gt;"",Expenses[[#This Row],[Monthly Amount]]/Income,"")</f>
        <v/>
      </c>
    </row>
    <row r="398" spans="2:8" ht="24" customHeight="1" x14ac:dyDescent="0.45">
      <c r="B398" s="31"/>
      <c r="C398" s="31"/>
      <c r="D398" s="32"/>
      <c r="E398" s="31"/>
      <c r="F39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8" s="26"/>
      <c r="H398" s="33" t="str">
        <f>IF(Expenses[[#This Row],[Monthly Amount]]&lt;&gt;"",Expenses[[#This Row],[Monthly Amount]]/Income,"")</f>
        <v/>
      </c>
    </row>
    <row r="399" spans="2:8" ht="24" customHeight="1" x14ac:dyDescent="0.45">
      <c r="B399" s="31"/>
      <c r="C399" s="31"/>
      <c r="D399" s="32"/>
      <c r="E399" s="31"/>
      <c r="F39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399" s="26"/>
      <c r="H399" s="33" t="str">
        <f>IF(Expenses[[#This Row],[Monthly Amount]]&lt;&gt;"",Expenses[[#This Row],[Monthly Amount]]/Income,"")</f>
        <v/>
      </c>
    </row>
    <row r="400" spans="2:8" ht="24" customHeight="1" x14ac:dyDescent="0.45">
      <c r="B400" s="31"/>
      <c r="C400" s="31"/>
      <c r="D400" s="32"/>
      <c r="E400" s="31"/>
      <c r="F40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0" s="26"/>
      <c r="H400" s="33" t="str">
        <f>IF(Expenses[[#This Row],[Monthly Amount]]&lt;&gt;"",Expenses[[#This Row],[Monthly Amount]]/Income,"")</f>
        <v/>
      </c>
    </row>
    <row r="401" spans="2:8" ht="24" customHeight="1" x14ac:dyDescent="0.45">
      <c r="B401" s="31"/>
      <c r="C401" s="31"/>
      <c r="D401" s="32"/>
      <c r="E401" s="31"/>
      <c r="F40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1" s="26"/>
      <c r="H401" s="33" t="str">
        <f>IF(Expenses[[#This Row],[Monthly Amount]]&lt;&gt;"",Expenses[[#This Row],[Monthly Amount]]/Income,"")</f>
        <v/>
      </c>
    </row>
    <row r="402" spans="2:8" ht="24" customHeight="1" x14ac:dyDescent="0.45">
      <c r="B402" s="31"/>
      <c r="C402" s="31"/>
      <c r="D402" s="32"/>
      <c r="E402" s="31"/>
      <c r="F40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2" s="26"/>
      <c r="H402" s="33" t="str">
        <f>IF(Expenses[[#This Row],[Monthly Amount]]&lt;&gt;"",Expenses[[#This Row],[Monthly Amount]]/Income,"")</f>
        <v/>
      </c>
    </row>
    <row r="403" spans="2:8" ht="24" customHeight="1" x14ac:dyDescent="0.45">
      <c r="B403" s="31"/>
      <c r="C403" s="31"/>
      <c r="D403" s="32"/>
      <c r="E403" s="31"/>
      <c r="F40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3" s="26"/>
      <c r="H403" s="33" t="str">
        <f>IF(Expenses[[#This Row],[Monthly Amount]]&lt;&gt;"",Expenses[[#This Row],[Monthly Amount]]/Income,"")</f>
        <v/>
      </c>
    </row>
    <row r="404" spans="2:8" ht="24" customHeight="1" x14ac:dyDescent="0.45">
      <c r="B404" s="31"/>
      <c r="C404" s="31"/>
      <c r="D404" s="32"/>
      <c r="E404" s="31"/>
      <c r="F40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4" s="26"/>
      <c r="H404" s="33" t="str">
        <f>IF(Expenses[[#This Row],[Monthly Amount]]&lt;&gt;"",Expenses[[#This Row],[Monthly Amount]]/Income,"")</f>
        <v/>
      </c>
    </row>
    <row r="405" spans="2:8" ht="24" customHeight="1" x14ac:dyDescent="0.45">
      <c r="B405" s="31"/>
      <c r="C405" s="31"/>
      <c r="D405" s="32"/>
      <c r="E405" s="31"/>
      <c r="F40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5" s="26"/>
      <c r="H405" s="33" t="str">
        <f>IF(Expenses[[#This Row],[Monthly Amount]]&lt;&gt;"",Expenses[[#This Row],[Monthly Amount]]/Income,"")</f>
        <v/>
      </c>
    </row>
    <row r="406" spans="2:8" ht="24" customHeight="1" x14ac:dyDescent="0.45">
      <c r="B406" s="31"/>
      <c r="C406" s="31"/>
      <c r="D406" s="32"/>
      <c r="E406" s="31"/>
      <c r="F40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6" s="26"/>
      <c r="H406" s="33" t="str">
        <f>IF(Expenses[[#This Row],[Monthly Amount]]&lt;&gt;"",Expenses[[#This Row],[Monthly Amount]]/Income,"")</f>
        <v/>
      </c>
    </row>
    <row r="407" spans="2:8" ht="24" customHeight="1" x14ac:dyDescent="0.45">
      <c r="B407" s="31"/>
      <c r="C407" s="31"/>
      <c r="D407" s="32"/>
      <c r="E407" s="31"/>
      <c r="F40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7" s="26"/>
      <c r="H407" s="33" t="str">
        <f>IF(Expenses[[#This Row],[Monthly Amount]]&lt;&gt;"",Expenses[[#This Row],[Monthly Amount]]/Income,"")</f>
        <v/>
      </c>
    </row>
    <row r="408" spans="2:8" ht="24" customHeight="1" x14ac:dyDescent="0.45">
      <c r="B408" s="31"/>
      <c r="C408" s="31"/>
      <c r="D408" s="32"/>
      <c r="E408" s="31"/>
      <c r="F40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8" s="26"/>
      <c r="H408" s="33" t="str">
        <f>IF(Expenses[[#This Row],[Monthly Amount]]&lt;&gt;"",Expenses[[#This Row],[Monthly Amount]]/Income,"")</f>
        <v/>
      </c>
    </row>
    <row r="409" spans="2:8" ht="24" customHeight="1" x14ac:dyDescent="0.45">
      <c r="B409" s="31"/>
      <c r="C409" s="31"/>
      <c r="D409" s="32"/>
      <c r="E409" s="31"/>
      <c r="F40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09" s="26"/>
      <c r="H409" s="33" t="str">
        <f>IF(Expenses[[#This Row],[Monthly Amount]]&lt;&gt;"",Expenses[[#This Row],[Monthly Amount]]/Income,"")</f>
        <v/>
      </c>
    </row>
    <row r="410" spans="2:8" ht="24" customHeight="1" x14ac:dyDescent="0.45">
      <c r="B410" s="31"/>
      <c r="C410" s="31"/>
      <c r="D410" s="32"/>
      <c r="E410" s="31"/>
      <c r="F41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0" s="26"/>
      <c r="H410" s="33" t="str">
        <f>IF(Expenses[[#This Row],[Monthly Amount]]&lt;&gt;"",Expenses[[#This Row],[Monthly Amount]]/Income,"")</f>
        <v/>
      </c>
    </row>
    <row r="411" spans="2:8" ht="24" customHeight="1" x14ac:dyDescent="0.45">
      <c r="B411" s="31"/>
      <c r="C411" s="31"/>
      <c r="D411" s="32"/>
      <c r="E411" s="31"/>
      <c r="F41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1" s="26"/>
      <c r="H411" s="33" t="str">
        <f>IF(Expenses[[#This Row],[Monthly Amount]]&lt;&gt;"",Expenses[[#This Row],[Monthly Amount]]/Income,"")</f>
        <v/>
      </c>
    </row>
    <row r="412" spans="2:8" ht="24" customHeight="1" x14ac:dyDescent="0.45">
      <c r="B412" s="31"/>
      <c r="C412" s="31"/>
      <c r="D412" s="32"/>
      <c r="E412" s="31"/>
      <c r="F41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2" s="26"/>
      <c r="H412" s="33" t="str">
        <f>IF(Expenses[[#This Row],[Monthly Amount]]&lt;&gt;"",Expenses[[#This Row],[Monthly Amount]]/Income,"")</f>
        <v/>
      </c>
    </row>
    <row r="413" spans="2:8" ht="24" customHeight="1" x14ac:dyDescent="0.45">
      <c r="B413" s="31"/>
      <c r="C413" s="31"/>
      <c r="D413" s="32"/>
      <c r="E413" s="31"/>
      <c r="F41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3" s="26"/>
      <c r="H413" s="33" t="str">
        <f>IF(Expenses[[#This Row],[Monthly Amount]]&lt;&gt;"",Expenses[[#This Row],[Monthly Amount]]/Income,"")</f>
        <v/>
      </c>
    </row>
    <row r="414" spans="2:8" ht="24" customHeight="1" x14ac:dyDescent="0.45">
      <c r="B414" s="31"/>
      <c r="C414" s="31"/>
      <c r="D414" s="32"/>
      <c r="E414" s="31"/>
      <c r="F41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4" s="26"/>
      <c r="H414" s="33" t="str">
        <f>IF(Expenses[[#This Row],[Monthly Amount]]&lt;&gt;"",Expenses[[#This Row],[Monthly Amount]]/Income,"")</f>
        <v/>
      </c>
    </row>
    <row r="415" spans="2:8" ht="24" customHeight="1" x14ac:dyDescent="0.45">
      <c r="B415" s="31"/>
      <c r="C415" s="31"/>
      <c r="D415" s="32"/>
      <c r="E415" s="31"/>
      <c r="F41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5" s="26"/>
      <c r="H415" s="33" t="str">
        <f>IF(Expenses[[#This Row],[Monthly Amount]]&lt;&gt;"",Expenses[[#This Row],[Monthly Amount]]/Income,"")</f>
        <v/>
      </c>
    </row>
    <row r="416" spans="2:8" ht="24" customHeight="1" x14ac:dyDescent="0.45">
      <c r="B416" s="31"/>
      <c r="C416" s="31"/>
      <c r="D416" s="32"/>
      <c r="E416" s="31"/>
      <c r="F41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6" s="26"/>
      <c r="H416" s="33" t="str">
        <f>IF(Expenses[[#This Row],[Monthly Amount]]&lt;&gt;"",Expenses[[#This Row],[Monthly Amount]]/Income,"")</f>
        <v/>
      </c>
    </row>
    <row r="417" spans="2:8" ht="24" customHeight="1" x14ac:dyDescent="0.45">
      <c r="B417" s="31"/>
      <c r="C417" s="31"/>
      <c r="D417" s="32"/>
      <c r="E417" s="31"/>
      <c r="F41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7" s="26"/>
      <c r="H417" s="33" t="str">
        <f>IF(Expenses[[#This Row],[Monthly Amount]]&lt;&gt;"",Expenses[[#This Row],[Monthly Amount]]/Income,"")</f>
        <v/>
      </c>
    </row>
    <row r="418" spans="2:8" ht="24" customHeight="1" x14ac:dyDescent="0.45">
      <c r="B418" s="31"/>
      <c r="C418" s="31"/>
      <c r="D418" s="32"/>
      <c r="E418" s="31"/>
      <c r="F41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8" s="26"/>
      <c r="H418" s="33" t="str">
        <f>IF(Expenses[[#This Row],[Monthly Amount]]&lt;&gt;"",Expenses[[#This Row],[Monthly Amount]]/Income,"")</f>
        <v/>
      </c>
    </row>
    <row r="419" spans="2:8" ht="24" customHeight="1" x14ac:dyDescent="0.45">
      <c r="B419" s="31"/>
      <c r="C419" s="31"/>
      <c r="D419" s="32"/>
      <c r="E419" s="31"/>
      <c r="F41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19" s="26"/>
      <c r="H419" s="33" t="str">
        <f>IF(Expenses[[#This Row],[Monthly Amount]]&lt;&gt;"",Expenses[[#This Row],[Monthly Amount]]/Income,"")</f>
        <v/>
      </c>
    </row>
    <row r="420" spans="2:8" ht="24" customHeight="1" x14ac:dyDescent="0.45">
      <c r="B420" s="31"/>
      <c r="C420" s="31"/>
      <c r="D420" s="32"/>
      <c r="E420" s="31"/>
      <c r="F42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0" s="26"/>
      <c r="H420" s="33" t="str">
        <f>IF(Expenses[[#This Row],[Monthly Amount]]&lt;&gt;"",Expenses[[#This Row],[Monthly Amount]]/Income,"")</f>
        <v/>
      </c>
    </row>
    <row r="421" spans="2:8" ht="24" customHeight="1" x14ac:dyDescent="0.45">
      <c r="B421" s="31"/>
      <c r="C421" s="31"/>
      <c r="D421" s="32"/>
      <c r="E421" s="31"/>
      <c r="F42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1" s="26"/>
      <c r="H421" s="33" t="str">
        <f>IF(Expenses[[#This Row],[Monthly Amount]]&lt;&gt;"",Expenses[[#This Row],[Monthly Amount]]/Income,"")</f>
        <v/>
      </c>
    </row>
    <row r="422" spans="2:8" ht="24" customHeight="1" x14ac:dyDescent="0.45">
      <c r="B422" s="31"/>
      <c r="C422" s="31"/>
      <c r="D422" s="32"/>
      <c r="E422" s="31"/>
      <c r="F42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2" s="26"/>
      <c r="H422" s="33" t="str">
        <f>IF(Expenses[[#This Row],[Monthly Amount]]&lt;&gt;"",Expenses[[#This Row],[Monthly Amount]]/Income,"")</f>
        <v/>
      </c>
    </row>
    <row r="423" spans="2:8" ht="24" customHeight="1" x14ac:dyDescent="0.45">
      <c r="B423" s="31"/>
      <c r="C423" s="31"/>
      <c r="D423" s="32"/>
      <c r="E423" s="31"/>
      <c r="F42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3" s="26"/>
      <c r="H423" s="33" t="str">
        <f>IF(Expenses[[#This Row],[Monthly Amount]]&lt;&gt;"",Expenses[[#This Row],[Monthly Amount]]/Income,"")</f>
        <v/>
      </c>
    </row>
    <row r="424" spans="2:8" ht="24" customHeight="1" x14ac:dyDescent="0.45">
      <c r="B424" s="31"/>
      <c r="C424" s="31"/>
      <c r="D424" s="32"/>
      <c r="E424" s="31"/>
      <c r="F42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4" s="26"/>
      <c r="H424" s="33" t="str">
        <f>IF(Expenses[[#This Row],[Monthly Amount]]&lt;&gt;"",Expenses[[#This Row],[Monthly Amount]]/Income,"")</f>
        <v/>
      </c>
    </row>
    <row r="425" spans="2:8" ht="24" customHeight="1" x14ac:dyDescent="0.45">
      <c r="B425" s="31"/>
      <c r="C425" s="31"/>
      <c r="D425" s="32"/>
      <c r="E425" s="31"/>
      <c r="F42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5" s="26"/>
      <c r="H425" s="33" t="str">
        <f>IF(Expenses[[#This Row],[Monthly Amount]]&lt;&gt;"",Expenses[[#This Row],[Monthly Amount]]/Income,"")</f>
        <v/>
      </c>
    </row>
    <row r="426" spans="2:8" ht="24" customHeight="1" x14ac:dyDescent="0.45">
      <c r="B426" s="31"/>
      <c r="C426" s="31"/>
      <c r="D426" s="32"/>
      <c r="E426" s="31"/>
      <c r="F42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6" s="26"/>
      <c r="H426" s="33" t="str">
        <f>IF(Expenses[[#This Row],[Monthly Amount]]&lt;&gt;"",Expenses[[#This Row],[Monthly Amount]]/Income,"")</f>
        <v/>
      </c>
    </row>
    <row r="427" spans="2:8" ht="24" customHeight="1" x14ac:dyDescent="0.45">
      <c r="B427" s="31"/>
      <c r="C427" s="31"/>
      <c r="D427" s="32"/>
      <c r="E427" s="31"/>
      <c r="F42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7" s="26"/>
      <c r="H427" s="33" t="str">
        <f>IF(Expenses[[#This Row],[Monthly Amount]]&lt;&gt;"",Expenses[[#This Row],[Monthly Amount]]/Income,"")</f>
        <v/>
      </c>
    </row>
    <row r="428" spans="2:8" ht="24" customHeight="1" x14ac:dyDescent="0.45">
      <c r="B428" s="31"/>
      <c r="C428" s="31"/>
      <c r="D428" s="32"/>
      <c r="E428" s="31"/>
      <c r="F42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8" s="26"/>
      <c r="H428" s="33" t="str">
        <f>IF(Expenses[[#This Row],[Monthly Amount]]&lt;&gt;"",Expenses[[#This Row],[Monthly Amount]]/Income,"")</f>
        <v/>
      </c>
    </row>
    <row r="429" spans="2:8" ht="24" customHeight="1" x14ac:dyDescent="0.45">
      <c r="B429" s="31"/>
      <c r="C429" s="31"/>
      <c r="D429" s="32"/>
      <c r="E429" s="31"/>
      <c r="F42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29" s="26"/>
      <c r="H429" s="33" t="str">
        <f>IF(Expenses[[#This Row],[Monthly Amount]]&lt;&gt;"",Expenses[[#This Row],[Monthly Amount]]/Income,"")</f>
        <v/>
      </c>
    </row>
    <row r="430" spans="2:8" ht="24" customHeight="1" x14ac:dyDescent="0.45">
      <c r="B430" s="31"/>
      <c r="C430" s="31"/>
      <c r="D430" s="32"/>
      <c r="E430" s="31"/>
      <c r="F43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0" s="26"/>
      <c r="H430" s="33" t="str">
        <f>IF(Expenses[[#This Row],[Monthly Amount]]&lt;&gt;"",Expenses[[#This Row],[Monthly Amount]]/Income,"")</f>
        <v/>
      </c>
    </row>
    <row r="431" spans="2:8" ht="24" customHeight="1" x14ac:dyDescent="0.45">
      <c r="B431" s="31"/>
      <c r="C431" s="31"/>
      <c r="D431" s="32"/>
      <c r="E431" s="31"/>
      <c r="F43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1" s="26"/>
      <c r="H431" s="33" t="str">
        <f>IF(Expenses[[#This Row],[Monthly Amount]]&lt;&gt;"",Expenses[[#This Row],[Monthly Amount]]/Income,"")</f>
        <v/>
      </c>
    </row>
    <row r="432" spans="2:8" ht="24" customHeight="1" x14ac:dyDescent="0.45">
      <c r="B432" s="31"/>
      <c r="C432" s="31"/>
      <c r="D432" s="32"/>
      <c r="E432" s="31"/>
      <c r="F43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2" s="26"/>
      <c r="H432" s="33" t="str">
        <f>IF(Expenses[[#This Row],[Monthly Amount]]&lt;&gt;"",Expenses[[#This Row],[Monthly Amount]]/Income,"")</f>
        <v/>
      </c>
    </row>
    <row r="433" spans="2:8" ht="24" customHeight="1" x14ac:dyDescent="0.45">
      <c r="B433" s="31"/>
      <c r="C433" s="31"/>
      <c r="D433" s="32"/>
      <c r="E433" s="31"/>
      <c r="F43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3" s="26"/>
      <c r="H433" s="33" t="str">
        <f>IF(Expenses[[#This Row],[Monthly Amount]]&lt;&gt;"",Expenses[[#This Row],[Monthly Amount]]/Income,"")</f>
        <v/>
      </c>
    </row>
    <row r="434" spans="2:8" ht="24" customHeight="1" x14ac:dyDescent="0.45">
      <c r="B434" s="31"/>
      <c r="C434" s="31"/>
      <c r="D434" s="32"/>
      <c r="E434" s="31"/>
      <c r="F43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4" s="26"/>
      <c r="H434" s="33" t="str">
        <f>IF(Expenses[[#This Row],[Monthly Amount]]&lt;&gt;"",Expenses[[#This Row],[Monthly Amount]]/Income,"")</f>
        <v/>
      </c>
    </row>
    <row r="435" spans="2:8" ht="24" customHeight="1" x14ac:dyDescent="0.45">
      <c r="B435" s="31"/>
      <c r="C435" s="31"/>
      <c r="D435" s="32"/>
      <c r="E435" s="31"/>
      <c r="F43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5" s="26"/>
      <c r="H435" s="33" t="str">
        <f>IF(Expenses[[#This Row],[Monthly Amount]]&lt;&gt;"",Expenses[[#This Row],[Monthly Amount]]/Income,"")</f>
        <v/>
      </c>
    </row>
    <row r="436" spans="2:8" ht="24" customHeight="1" x14ac:dyDescent="0.45">
      <c r="B436" s="31"/>
      <c r="C436" s="31"/>
      <c r="D436" s="32"/>
      <c r="E436" s="31"/>
      <c r="F43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6" s="26"/>
      <c r="H436" s="33" t="str">
        <f>IF(Expenses[[#This Row],[Monthly Amount]]&lt;&gt;"",Expenses[[#This Row],[Monthly Amount]]/Income,"")</f>
        <v/>
      </c>
    </row>
    <row r="437" spans="2:8" ht="24" customHeight="1" x14ac:dyDescent="0.45">
      <c r="B437" s="31"/>
      <c r="C437" s="31"/>
      <c r="D437" s="32"/>
      <c r="E437" s="31"/>
      <c r="F43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7" s="26"/>
      <c r="H437" s="33" t="str">
        <f>IF(Expenses[[#This Row],[Monthly Amount]]&lt;&gt;"",Expenses[[#This Row],[Monthly Amount]]/Income,"")</f>
        <v/>
      </c>
    </row>
    <row r="438" spans="2:8" ht="24" customHeight="1" x14ac:dyDescent="0.45">
      <c r="B438" s="31"/>
      <c r="C438" s="31"/>
      <c r="D438" s="32"/>
      <c r="E438" s="31"/>
      <c r="F43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8" s="26"/>
      <c r="H438" s="33" t="str">
        <f>IF(Expenses[[#This Row],[Monthly Amount]]&lt;&gt;"",Expenses[[#This Row],[Monthly Amount]]/Income,"")</f>
        <v/>
      </c>
    </row>
    <row r="439" spans="2:8" ht="24" customHeight="1" x14ac:dyDescent="0.45">
      <c r="B439" s="31"/>
      <c r="C439" s="31"/>
      <c r="D439" s="32"/>
      <c r="E439" s="31"/>
      <c r="F43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39" s="26"/>
      <c r="H439" s="33" t="str">
        <f>IF(Expenses[[#This Row],[Monthly Amount]]&lt;&gt;"",Expenses[[#This Row],[Monthly Amount]]/Income,"")</f>
        <v/>
      </c>
    </row>
    <row r="440" spans="2:8" ht="24" customHeight="1" x14ac:dyDescent="0.45">
      <c r="B440" s="31"/>
      <c r="C440" s="31"/>
      <c r="D440" s="32"/>
      <c r="E440" s="31"/>
      <c r="F44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0" s="26"/>
      <c r="H440" s="33" t="str">
        <f>IF(Expenses[[#This Row],[Monthly Amount]]&lt;&gt;"",Expenses[[#This Row],[Monthly Amount]]/Income,"")</f>
        <v/>
      </c>
    </row>
    <row r="441" spans="2:8" ht="24" customHeight="1" x14ac:dyDescent="0.45">
      <c r="B441" s="31"/>
      <c r="C441" s="31"/>
      <c r="D441" s="32"/>
      <c r="E441" s="31"/>
      <c r="F44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1" s="26"/>
      <c r="H441" s="33" t="str">
        <f>IF(Expenses[[#This Row],[Monthly Amount]]&lt;&gt;"",Expenses[[#This Row],[Monthly Amount]]/Income,"")</f>
        <v/>
      </c>
    </row>
    <row r="442" spans="2:8" ht="24" customHeight="1" x14ac:dyDescent="0.45">
      <c r="B442" s="31"/>
      <c r="C442" s="31"/>
      <c r="D442" s="32"/>
      <c r="E442" s="31"/>
      <c r="F44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2" s="26"/>
      <c r="H442" s="33" t="str">
        <f>IF(Expenses[[#This Row],[Monthly Amount]]&lt;&gt;"",Expenses[[#This Row],[Monthly Amount]]/Income,"")</f>
        <v/>
      </c>
    </row>
    <row r="443" spans="2:8" ht="24" customHeight="1" x14ac:dyDescent="0.45">
      <c r="B443" s="31"/>
      <c r="C443" s="31"/>
      <c r="D443" s="32"/>
      <c r="E443" s="31"/>
      <c r="F44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3" s="26"/>
      <c r="H443" s="33" t="str">
        <f>IF(Expenses[[#This Row],[Monthly Amount]]&lt;&gt;"",Expenses[[#This Row],[Monthly Amount]]/Income,"")</f>
        <v/>
      </c>
    </row>
    <row r="444" spans="2:8" ht="24" customHeight="1" x14ac:dyDescent="0.45">
      <c r="B444" s="31"/>
      <c r="C444" s="31"/>
      <c r="D444" s="32"/>
      <c r="E444" s="31"/>
      <c r="F44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4" s="26"/>
      <c r="H444" s="33" t="str">
        <f>IF(Expenses[[#This Row],[Monthly Amount]]&lt;&gt;"",Expenses[[#This Row],[Monthly Amount]]/Income,"")</f>
        <v/>
      </c>
    </row>
    <row r="445" spans="2:8" ht="24" customHeight="1" x14ac:dyDescent="0.45">
      <c r="B445" s="31"/>
      <c r="C445" s="31"/>
      <c r="D445" s="32"/>
      <c r="E445" s="31"/>
      <c r="F44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5" s="26"/>
      <c r="H445" s="33" t="str">
        <f>IF(Expenses[[#This Row],[Monthly Amount]]&lt;&gt;"",Expenses[[#This Row],[Monthly Amount]]/Income,"")</f>
        <v/>
      </c>
    </row>
    <row r="446" spans="2:8" ht="24" customHeight="1" x14ac:dyDescent="0.45">
      <c r="B446" s="31"/>
      <c r="C446" s="31"/>
      <c r="D446" s="32"/>
      <c r="E446" s="31"/>
      <c r="F44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6" s="26"/>
      <c r="H446" s="33" t="str">
        <f>IF(Expenses[[#This Row],[Monthly Amount]]&lt;&gt;"",Expenses[[#This Row],[Monthly Amount]]/Income,"")</f>
        <v/>
      </c>
    </row>
    <row r="447" spans="2:8" ht="24" customHeight="1" x14ac:dyDescent="0.45">
      <c r="B447" s="31"/>
      <c r="C447" s="31"/>
      <c r="D447" s="32"/>
      <c r="E447" s="31"/>
      <c r="F44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7" s="26"/>
      <c r="H447" s="33" t="str">
        <f>IF(Expenses[[#This Row],[Monthly Amount]]&lt;&gt;"",Expenses[[#This Row],[Monthly Amount]]/Income,"")</f>
        <v/>
      </c>
    </row>
    <row r="448" spans="2:8" ht="24" customHeight="1" x14ac:dyDescent="0.45">
      <c r="B448" s="31"/>
      <c r="C448" s="31"/>
      <c r="D448" s="32"/>
      <c r="E448" s="31"/>
      <c r="F44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8" s="26"/>
      <c r="H448" s="33" t="str">
        <f>IF(Expenses[[#This Row],[Monthly Amount]]&lt;&gt;"",Expenses[[#This Row],[Monthly Amount]]/Income,"")</f>
        <v/>
      </c>
    </row>
    <row r="449" spans="2:8" ht="24" customHeight="1" x14ac:dyDescent="0.45">
      <c r="B449" s="31"/>
      <c r="C449" s="31"/>
      <c r="D449" s="32"/>
      <c r="E449" s="31"/>
      <c r="F44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49" s="26"/>
      <c r="H449" s="33" t="str">
        <f>IF(Expenses[[#This Row],[Monthly Amount]]&lt;&gt;"",Expenses[[#This Row],[Monthly Amount]]/Income,"")</f>
        <v/>
      </c>
    </row>
    <row r="450" spans="2:8" ht="24" customHeight="1" x14ac:dyDescent="0.45">
      <c r="B450" s="31"/>
      <c r="C450" s="31"/>
      <c r="D450" s="32"/>
      <c r="E450" s="31"/>
      <c r="F45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0" s="26"/>
      <c r="H450" s="33" t="str">
        <f>IF(Expenses[[#This Row],[Monthly Amount]]&lt;&gt;"",Expenses[[#This Row],[Monthly Amount]]/Income,"")</f>
        <v/>
      </c>
    </row>
    <row r="451" spans="2:8" ht="24" customHeight="1" x14ac:dyDescent="0.45">
      <c r="B451" s="31"/>
      <c r="C451" s="31"/>
      <c r="D451" s="32"/>
      <c r="E451" s="31"/>
      <c r="F45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1" s="26"/>
      <c r="H451" s="33" t="str">
        <f>IF(Expenses[[#This Row],[Monthly Amount]]&lt;&gt;"",Expenses[[#This Row],[Monthly Amount]]/Income,"")</f>
        <v/>
      </c>
    </row>
    <row r="452" spans="2:8" ht="24" customHeight="1" x14ac:dyDescent="0.45">
      <c r="B452" s="31"/>
      <c r="C452" s="31"/>
      <c r="D452" s="32"/>
      <c r="E452" s="31"/>
      <c r="F45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2" s="26"/>
      <c r="H452" s="33" t="str">
        <f>IF(Expenses[[#This Row],[Monthly Amount]]&lt;&gt;"",Expenses[[#This Row],[Monthly Amount]]/Income,"")</f>
        <v/>
      </c>
    </row>
    <row r="453" spans="2:8" ht="24" customHeight="1" x14ac:dyDescent="0.45">
      <c r="B453" s="31"/>
      <c r="C453" s="31"/>
      <c r="D453" s="32"/>
      <c r="E453" s="31"/>
      <c r="F45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3" s="26"/>
      <c r="H453" s="33" t="str">
        <f>IF(Expenses[[#This Row],[Monthly Amount]]&lt;&gt;"",Expenses[[#This Row],[Monthly Amount]]/Income,"")</f>
        <v/>
      </c>
    </row>
    <row r="454" spans="2:8" ht="24" customHeight="1" x14ac:dyDescent="0.45">
      <c r="B454" s="31"/>
      <c r="C454" s="31"/>
      <c r="D454" s="32"/>
      <c r="E454" s="31"/>
      <c r="F45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4" s="26"/>
      <c r="H454" s="33" t="str">
        <f>IF(Expenses[[#This Row],[Monthly Amount]]&lt;&gt;"",Expenses[[#This Row],[Monthly Amount]]/Income,"")</f>
        <v/>
      </c>
    </row>
    <row r="455" spans="2:8" ht="24" customHeight="1" x14ac:dyDescent="0.45">
      <c r="B455" s="31"/>
      <c r="C455" s="31"/>
      <c r="D455" s="32"/>
      <c r="E455" s="31"/>
      <c r="F45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5" s="26"/>
      <c r="H455" s="33" t="str">
        <f>IF(Expenses[[#This Row],[Monthly Amount]]&lt;&gt;"",Expenses[[#This Row],[Monthly Amount]]/Income,"")</f>
        <v/>
      </c>
    </row>
    <row r="456" spans="2:8" ht="24" customHeight="1" x14ac:dyDescent="0.45">
      <c r="B456" s="31"/>
      <c r="C456" s="31"/>
      <c r="D456" s="32"/>
      <c r="E456" s="31"/>
      <c r="F45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6" s="26"/>
      <c r="H456" s="33" t="str">
        <f>IF(Expenses[[#This Row],[Monthly Amount]]&lt;&gt;"",Expenses[[#This Row],[Monthly Amount]]/Income,"")</f>
        <v/>
      </c>
    </row>
    <row r="457" spans="2:8" ht="24" customHeight="1" x14ac:dyDescent="0.45">
      <c r="B457" s="31"/>
      <c r="C457" s="31"/>
      <c r="D457" s="32"/>
      <c r="E457" s="31"/>
      <c r="F45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7" s="26"/>
      <c r="H457" s="33" t="str">
        <f>IF(Expenses[[#This Row],[Monthly Amount]]&lt;&gt;"",Expenses[[#This Row],[Monthly Amount]]/Income,"")</f>
        <v/>
      </c>
    </row>
    <row r="458" spans="2:8" ht="24" customHeight="1" x14ac:dyDescent="0.45">
      <c r="B458" s="31"/>
      <c r="C458" s="31"/>
      <c r="D458" s="32"/>
      <c r="E458" s="31"/>
      <c r="F45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8" s="26"/>
      <c r="H458" s="33" t="str">
        <f>IF(Expenses[[#This Row],[Monthly Amount]]&lt;&gt;"",Expenses[[#This Row],[Monthly Amount]]/Income,"")</f>
        <v/>
      </c>
    </row>
    <row r="459" spans="2:8" ht="24" customHeight="1" x14ac:dyDescent="0.45">
      <c r="B459" s="31"/>
      <c r="C459" s="31"/>
      <c r="D459" s="32"/>
      <c r="E459" s="31"/>
      <c r="F45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59" s="26"/>
      <c r="H459" s="33" t="str">
        <f>IF(Expenses[[#This Row],[Monthly Amount]]&lt;&gt;"",Expenses[[#This Row],[Monthly Amount]]/Income,"")</f>
        <v/>
      </c>
    </row>
    <row r="460" spans="2:8" ht="24" customHeight="1" x14ac:dyDescent="0.45">
      <c r="B460" s="31"/>
      <c r="C460" s="31"/>
      <c r="D460" s="32"/>
      <c r="E460" s="31"/>
      <c r="F46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0" s="26"/>
      <c r="H460" s="33" t="str">
        <f>IF(Expenses[[#This Row],[Monthly Amount]]&lt;&gt;"",Expenses[[#This Row],[Monthly Amount]]/Income,"")</f>
        <v/>
      </c>
    </row>
    <row r="461" spans="2:8" ht="24" customHeight="1" x14ac:dyDescent="0.45">
      <c r="B461" s="31"/>
      <c r="C461" s="31"/>
      <c r="D461" s="32"/>
      <c r="E461" s="31"/>
      <c r="F46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1" s="26"/>
      <c r="H461" s="33" t="str">
        <f>IF(Expenses[[#This Row],[Monthly Amount]]&lt;&gt;"",Expenses[[#This Row],[Monthly Amount]]/Income,"")</f>
        <v/>
      </c>
    </row>
    <row r="462" spans="2:8" ht="24" customHeight="1" x14ac:dyDescent="0.45">
      <c r="B462" s="31"/>
      <c r="C462" s="31"/>
      <c r="D462" s="32"/>
      <c r="E462" s="31"/>
      <c r="F46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2" s="26"/>
      <c r="H462" s="33" t="str">
        <f>IF(Expenses[[#This Row],[Monthly Amount]]&lt;&gt;"",Expenses[[#This Row],[Monthly Amount]]/Income,"")</f>
        <v/>
      </c>
    </row>
    <row r="463" spans="2:8" ht="24" customHeight="1" x14ac:dyDescent="0.45">
      <c r="B463" s="31"/>
      <c r="C463" s="31"/>
      <c r="D463" s="32"/>
      <c r="E463" s="31"/>
      <c r="F46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3" s="26"/>
      <c r="H463" s="33" t="str">
        <f>IF(Expenses[[#This Row],[Monthly Amount]]&lt;&gt;"",Expenses[[#This Row],[Monthly Amount]]/Income,"")</f>
        <v/>
      </c>
    </row>
    <row r="464" spans="2:8" ht="24" customHeight="1" x14ac:dyDescent="0.45">
      <c r="B464" s="31"/>
      <c r="C464" s="31"/>
      <c r="D464" s="32"/>
      <c r="E464" s="31"/>
      <c r="F46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4" s="26"/>
      <c r="H464" s="33" t="str">
        <f>IF(Expenses[[#This Row],[Monthly Amount]]&lt;&gt;"",Expenses[[#This Row],[Monthly Amount]]/Income,"")</f>
        <v/>
      </c>
    </row>
    <row r="465" spans="2:8" ht="24" customHeight="1" x14ac:dyDescent="0.45">
      <c r="B465" s="31"/>
      <c r="C465" s="31"/>
      <c r="D465" s="32"/>
      <c r="E465" s="31"/>
      <c r="F46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5" s="26"/>
      <c r="H465" s="33" t="str">
        <f>IF(Expenses[[#This Row],[Monthly Amount]]&lt;&gt;"",Expenses[[#This Row],[Monthly Amount]]/Income,"")</f>
        <v/>
      </c>
    </row>
    <row r="466" spans="2:8" ht="24" customHeight="1" x14ac:dyDescent="0.45">
      <c r="B466" s="31"/>
      <c r="C466" s="31"/>
      <c r="D466" s="32"/>
      <c r="E466" s="31"/>
      <c r="F46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6" s="26"/>
      <c r="H466" s="33" t="str">
        <f>IF(Expenses[[#This Row],[Monthly Amount]]&lt;&gt;"",Expenses[[#This Row],[Monthly Amount]]/Income,"")</f>
        <v/>
      </c>
    </row>
    <row r="467" spans="2:8" ht="24" customHeight="1" x14ac:dyDescent="0.45">
      <c r="B467" s="31"/>
      <c r="C467" s="31"/>
      <c r="D467" s="32"/>
      <c r="E467" s="31"/>
      <c r="F46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7" s="26"/>
      <c r="H467" s="33" t="str">
        <f>IF(Expenses[[#This Row],[Monthly Amount]]&lt;&gt;"",Expenses[[#This Row],[Monthly Amount]]/Income,"")</f>
        <v/>
      </c>
    </row>
    <row r="468" spans="2:8" ht="24" customHeight="1" x14ac:dyDescent="0.45">
      <c r="B468" s="31"/>
      <c r="C468" s="31"/>
      <c r="D468" s="32"/>
      <c r="E468" s="31"/>
      <c r="F46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8" s="26"/>
      <c r="H468" s="33" t="str">
        <f>IF(Expenses[[#This Row],[Monthly Amount]]&lt;&gt;"",Expenses[[#This Row],[Monthly Amount]]/Income,"")</f>
        <v/>
      </c>
    </row>
    <row r="469" spans="2:8" ht="24" customHeight="1" x14ac:dyDescent="0.45">
      <c r="B469" s="31"/>
      <c r="C469" s="31"/>
      <c r="D469" s="32"/>
      <c r="E469" s="31"/>
      <c r="F46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69" s="26"/>
      <c r="H469" s="33" t="str">
        <f>IF(Expenses[[#This Row],[Monthly Amount]]&lt;&gt;"",Expenses[[#This Row],[Monthly Amount]]/Income,"")</f>
        <v/>
      </c>
    </row>
    <row r="470" spans="2:8" ht="24" customHeight="1" x14ac:dyDescent="0.45">
      <c r="B470" s="31"/>
      <c r="C470" s="31"/>
      <c r="D470" s="32"/>
      <c r="E470" s="31"/>
      <c r="F47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0" s="26"/>
      <c r="H470" s="33" t="str">
        <f>IF(Expenses[[#This Row],[Monthly Amount]]&lt;&gt;"",Expenses[[#This Row],[Monthly Amount]]/Income,"")</f>
        <v/>
      </c>
    </row>
    <row r="471" spans="2:8" ht="24" customHeight="1" x14ac:dyDescent="0.45">
      <c r="B471" s="31"/>
      <c r="C471" s="31"/>
      <c r="D471" s="32"/>
      <c r="E471" s="31"/>
      <c r="F47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1" s="26"/>
      <c r="H471" s="33" t="str">
        <f>IF(Expenses[[#This Row],[Monthly Amount]]&lt;&gt;"",Expenses[[#This Row],[Monthly Amount]]/Income,"")</f>
        <v/>
      </c>
    </row>
    <row r="472" spans="2:8" ht="24" customHeight="1" x14ac:dyDescent="0.45">
      <c r="B472" s="31"/>
      <c r="C472" s="31"/>
      <c r="D472" s="32"/>
      <c r="E472" s="31"/>
      <c r="F47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2" s="26"/>
      <c r="H472" s="33" t="str">
        <f>IF(Expenses[[#This Row],[Monthly Amount]]&lt;&gt;"",Expenses[[#This Row],[Monthly Amount]]/Income,"")</f>
        <v/>
      </c>
    </row>
    <row r="473" spans="2:8" ht="24" customHeight="1" x14ac:dyDescent="0.45">
      <c r="B473" s="31"/>
      <c r="C473" s="31"/>
      <c r="D473" s="32"/>
      <c r="E473" s="31"/>
      <c r="F47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3" s="26"/>
      <c r="H473" s="33" t="str">
        <f>IF(Expenses[[#This Row],[Monthly Amount]]&lt;&gt;"",Expenses[[#This Row],[Monthly Amount]]/Income,"")</f>
        <v/>
      </c>
    </row>
    <row r="474" spans="2:8" ht="24" customHeight="1" x14ac:dyDescent="0.45">
      <c r="B474" s="31"/>
      <c r="C474" s="31"/>
      <c r="D474" s="32"/>
      <c r="E474" s="31"/>
      <c r="F47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4" s="26"/>
      <c r="H474" s="33" t="str">
        <f>IF(Expenses[[#This Row],[Monthly Amount]]&lt;&gt;"",Expenses[[#This Row],[Monthly Amount]]/Income,"")</f>
        <v/>
      </c>
    </row>
    <row r="475" spans="2:8" ht="24" customHeight="1" x14ac:dyDescent="0.45">
      <c r="B475" s="31"/>
      <c r="C475" s="31"/>
      <c r="D475" s="32"/>
      <c r="E475" s="31"/>
      <c r="F47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5" s="26"/>
      <c r="H475" s="33" t="str">
        <f>IF(Expenses[[#This Row],[Monthly Amount]]&lt;&gt;"",Expenses[[#This Row],[Monthly Amount]]/Income,"")</f>
        <v/>
      </c>
    </row>
    <row r="476" spans="2:8" ht="24" customHeight="1" x14ac:dyDescent="0.45">
      <c r="B476" s="31"/>
      <c r="C476" s="31"/>
      <c r="D476" s="32"/>
      <c r="E476" s="31"/>
      <c r="F47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6" s="26"/>
      <c r="H476" s="33" t="str">
        <f>IF(Expenses[[#This Row],[Monthly Amount]]&lt;&gt;"",Expenses[[#This Row],[Monthly Amount]]/Income,"")</f>
        <v/>
      </c>
    </row>
    <row r="477" spans="2:8" ht="24" customHeight="1" x14ac:dyDescent="0.45">
      <c r="B477" s="31"/>
      <c r="C477" s="31"/>
      <c r="D477" s="32"/>
      <c r="E477" s="31"/>
      <c r="F47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7" s="26"/>
      <c r="H477" s="33" t="str">
        <f>IF(Expenses[[#This Row],[Monthly Amount]]&lt;&gt;"",Expenses[[#This Row],[Monthly Amount]]/Income,"")</f>
        <v/>
      </c>
    </row>
    <row r="478" spans="2:8" ht="24" customHeight="1" x14ac:dyDescent="0.45">
      <c r="B478" s="31"/>
      <c r="C478" s="31"/>
      <c r="D478" s="32"/>
      <c r="E478" s="31"/>
      <c r="F47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8" s="26"/>
      <c r="H478" s="33" t="str">
        <f>IF(Expenses[[#This Row],[Monthly Amount]]&lt;&gt;"",Expenses[[#This Row],[Monthly Amount]]/Income,"")</f>
        <v/>
      </c>
    </row>
    <row r="479" spans="2:8" ht="24" customHeight="1" x14ac:dyDescent="0.45">
      <c r="B479" s="31"/>
      <c r="C479" s="31"/>
      <c r="D479" s="32"/>
      <c r="E479" s="31"/>
      <c r="F47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79" s="26"/>
      <c r="H479" s="33" t="str">
        <f>IF(Expenses[[#This Row],[Monthly Amount]]&lt;&gt;"",Expenses[[#This Row],[Monthly Amount]]/Income,"")</f>
        <v/>
      </c>
    </row>
    <row r="480" spans="2:8" ht="24" customHeight="1" x14ac:dyDescent="0.45">
      <c r="B480" s="31"/>
      <c r="C480" s="31"/>
      <c r="D480" s="32"/>
      <c r="E480" s="31"/>
      <c r="F48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0" s="26"/>
      <c r="H480" s="33" t="str">
        <f>IF(Expenses[[#This Row],[Monthly Amount]]&lt;&gt;"",Expenses[[#This Row],[Monthly Amount]]/Income,"")</f>
        <v/>
      </c>
    </row>
    <row r="481" spans="2:8" ht="24" customHeight="1" x14ac:dyDescent="0.45">
      <c r="B481" s="31"/>
      <c r="C481" s="31"/>
      <c r="D481" s="32"/>
      <c r="E481" s="31"/>
      <c r="F48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1" s="26"/>
      <c r="H481" s="33" t="str">
        <f>IF(Expenses[[#This Row],[Monthly Amount]]&lt;&gt;"",Expenses[[#This Row],[Monthly Amount]]/Income,"")</f>
        <v/>
      </c>
    </row>
    <row r="482" spans="2:8" ht="24" customHeight="1" x14ac:dyDescent="0.45">
      <c r="B482" s="31"/>
      <c r="C482" s="31"/>
      <c r="D482" s="32"/>
      <c r="E482" s="31"/>
      <c r="F48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2" s="26"/>
      <c r="H482" s="33" t="str">
        <f>IF(Expenses[[#This Row],[Monthly Amount]]&lt;&gt;"",Expenses[[#This Row],[Monthly Amount]]/Income,"")</f>
        <v/>
      </c>
    </row>
    <row r="483" spans="2:8" ht="24" customHeight="1" x14ac:dyDescent="0.45">
      <c r="B483" s="31"/>
      <c r="C483" s="31"/>
      <c r="D483" s="32"/>
      <c r="E483" s="31"/>
      <c r="F48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3" s="26"/>
      <c r="H483" s="33" t="str">
        <f>IF(Expenses[[#This Row],[Monthly Amount]]&lt;&gt;"",Expenses[[#This Row],[Monthly Amount]]/Income,"")</f>
        <v/>
      </c>
    </row>
    <row r="484" spans="2:8" ht="24" customHeight="1" x14ac:dyDescent="0.45">
      <c r="B484" s="31"/>
      <c r="C484" s="31"/>
      <c r="D484" s="32"/>
      <c r="E484" s="31"/>
      <c r="F48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4" s="26"/>
      <c r="H484" s="33" t="str">
        <f>IF(Expenses[[#This Row],[Monthly Amount]]&lt;&gt;"",Expenses[[#This Row],[Monthly Amount]]/Income,"")</f>
        <v/>
      </c>
    </row>
    <row r="485" spans="2:8" ht="24" customHeight="1" x14ac:dyDescent="0.45">
      <c r="B485" s="31"/>
      <c r="C485" s="31"/>
      <c r="D485" s="32"/>
      <c r="E485" s="31"/>
      <c r="F48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5" s="26"/>
      <c r="H485" s="33" t="str">
        <f>IF(Expenses[[#This Row],[Monthly Amount]]&lt;&gt;"",Expenses[[#This Row],[Monthly Amount]]/Income,"")</f>
        <v/>
      </c>
    </row>
    <row r="486" spans="2:8" ht="24" customHeight="1" x14ac:dyDescent="0.45">
      <c r="B486" s="31"/>
      <c r="C486" s="31"/>
      <c r="D486" s="32"/>
      <c r="E486" s="31"/>
      <c r="F48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6" s="26"/>
      <c r="H486" s="33" t="str">
        <f>IF(Expenses[[#This Row],[Monthly Amount]]&lt;&gt;"",Expenses[[#This Row],[Monthly Amount]]/Income,"")</f>
        <v/>
      </c>
    </row>
    <row r="487" spans="2:8" ht="24" customHeight="1" x14ac:dyDescent="0.45">
      <c r="B487" s="31"/>
      <c r="C487" s="31"/>
      <c r="D487" s="32"/>
      <c r="E487" s="31"/>
      <c r="F48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7" s="26"/>
      <c r="H487" s="33" t="str">
        <f>IF(Expenses[[#This Row],[Monthly Amount]]&lt;&gt;"",Expenses[[#This Row],[Monthly Amount]]/Income,"")</f>
        <v/>
      </c>
    </row>
    <row r="488" spans="2:8" ht="24" customHeight="1" x14ac:dyDescent="0.45">
      <c r="B488" s="31"/>
      <c r="C488" s="31"/>
      <c r="D488" s="32"/>
      <c r="E488" s="31"/>
      <c r="F48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8" s="26"/>
      <c r="H488" s="33" t="str">
        <f>IF(Expenses[[#This Row],[Monthly Amount]]&lt;&gt;"",Expenses[[#This Row],[Monthly Amount]]/Income,"")</f>
        <v/>
      </c>
    </row>
    <row r="489" spans="2:8" ht="24" customHeight="1" x14ac:dyDescent="0.45">
      <c r="B489" s="31"/>
      <c r="C489" s="31"/>
      <c r="D489" s="32"/>
      <c r="E489" s="31"/>
      <c r="F48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89" s="26"/>
      <c r="H489" s="33" t="str">
        <f>IF(Expenses[[#This Row],[Monthly Amount]]&lt;&gt;"",Expenses[[#This Row],[Monthly Amount]]/Income,"")</f>
        <v/>
      </c>
    </row>
    <row r="490" spans="2:8" ht="24" customHeight="1" x14ac:dyDescent="0.45">
      <c r="B490" s="31"/>
      <c r="C490" s="31"/>
      <c r="D490" s="32"/>
      <c r="E490" s="31"/>
      <c r="F49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0" s="26"/>
      <c r="H490" s="33" t="str">
        <f>IF(Expenses[[#This Row],[Monthly Amount]]&lt;&gt;"",Expenses[[#This Row],[Monthly Amount]]/Income,"")</f>
        <v/>
      </c>
    </row>
    <row r="491" spans="2:8" ht="24" customHeight="1" x14ac:dyDescent="0.45">
      <c r="B491" s="31"/>
      <c r="C491" s="31"/>
      <c r="D491" s="32"/>
      <c r="E491" s="31"/>
      <c r="F49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1" s="26"/>
      <c r="H491" s="33" t="str">
        <f>IF(Expenses[[#This Row],[Monthly Amount]]&lt;&gt;"",Expenses[[#This Row],[Monthly Amount]]/Income,"")</f>
        <v/>
      </c>
    </row>
    <row r="492" spans="2:8" ht="24" customHeight="1" x14ac:dyDescent="0.45">
      <c r="B492" s="31"/>
      <c r="C492" s="31"/>
      <c r="D492" s="32"/>
      <c r="E492" s="31"/>
      <c r="F49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2" s="26"/>
      <c r="H492" s="33" t="str">
        <f>IF(Expenses[[#This Row],[Monthly Amount]]&lt;&gt;"",Expenses[[#This Row],[Monthly Amount]]/Income,"")</f>
        <v/>
      </c>
    </row>
    <row r="493" spans="2:8" ht="24" customHeight="1" x14ac:dyDescent="0.45">
      <c r="B493" s="31"/>
      <c r="C493" s="31"/>
      <c r="D493" s="32"/>
      <c r="E493" s="31"/>
      <c r="F49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3" s="26"/>
      <c r="H493" s="33" t="str">
        <f>IF(Expenses[[#This Row],[Monthly Amount]]&lt;&gt;"",Expenses[[#This Row],[Monthly Amount]]/Income,"")</f>
        <v/>
      </c>
    </row>
    <row r="494" spans="2:8" ht="24" customHeight="1" x14ac:dyDescent="0.45">
      <c r="B494" s="31"/>
      <c r="C494" s="31"/>
      <c r="D494" s="32"/>
      <c r="E494" s="31"/>
      <c r="F49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4" s="26"/>
      <c r="H494" s="33" t="str">
        <f>IF(Expenses[[#This Row],[Monthly Amount]]&lt;&gt;"",Expenses[[#This Row],[Monthly Amount]]/Income,"")</f>
        <v/>
      </c>
    </row>
    <row r="495" spans="2:8" ht="24" customHeight="1" x14ac:dyDescent="0.45">
      <c r="B495" s="31"/>
      <c r="C495" s="31"/>
      <c r="D495" s="32"/>
      <c r="E495" s="31"/>
      <c r="F49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5" s="26"/>
      <c r="H495" s="33" t="str">
        <f>IF(Expenses[[#This Row],[Monthly Amount]]&lt;&gt;"",Expenses[[#This Row],[Monthly Amount]]/Income,"")</f>
        <v/>
      </c>
    </row>
    <row r="496" spans="2:8" ht="24" customHeight="1" x14ac:dyDescent="0.45">
      <c r="B496" s="31"/>
      <c r="C496" s="31"/>
      <c r="D496" s="32"/>
      <c r="E496" s="31"/>
      <c r="F49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6" s="26"/>
      <c r="H496" s="33" t="str">
        <f>IF(Expenses[[#This Row],[Monthly Amount]]&lt;&gt;"",Expenses[[#This Row],[Monthly Amount]]/Income,"")</f>
        <v/>
      </c>
    </row>
    <row r="497" spans="2:8" ht="24" customHeight="1" x14ac:dyDescent="0.45">
      <c r="B497" s="31"/>
      <c r="C497" s="31"/>
      <c r="D497" s="32"/>
      <c r="E497" s="31"/>
      <c r="F49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7" s="26"/>
      <c r="H497" s="33" t="str">
        <f>IF(Expenses[[#This Row],[Monthly Amount]]&lt;&gt;"",Expenses[[#This Row],[Monthly Amount]]/Income,"")</f>
        <v/>
      </c>
    </row>
    <row r="498" spans="2:8" ht="24" customHeight="1" x14ac:dyDescent="0.45">
      <c r="B498" s="31"/>
      <c r="C498" s="31"/>
      <c r="D498" s="32"/>
      <c r="E498" s="31"/>
      <c r="F49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8" s="26"/>
      <c r="H498" s="33" t="str">
        <f>IF(Expenses[[#This Row],[Monthly Amount]]&lt;&gt;"",Expenses[[#This Row],[Monthly Amount]]/Income,"")</f>
        <v/>
      </c>
    </row>
    <row r="499" spans="2:8" ht="24" customHeight="1" x14ac:dyDescent="0.45">
      <c r="B499" s="31"/>
      <c r="C499" s="31"/>
      <c r="D499" s="32"/>
      <c r="E499" s="31"/>
      <c r="F49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499" s="26"/>
      <c r="H499" s="33" t="str">
        <f>IF(Expenses[[#This Row],[Monthly Amount]]&lt;&gt;"",Expenses[[#This Row],[Monthly Amount]]/Income,"")</f>
        <v/>
      </c>
    </row>
    <row r="500" spans="2:8" ht="24" customHeight="1" x14ac:dyDescent="0.45">
      <c r="B500" s="31"/>
      <c r="C500" s="31"/>
      <c r="D500" s="32"/>
      <c r="E500" s="31"/>
      <c r="F50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0" s="26"/>
      <c r="H500" s="33" t="str">
        <f>IF(Expenses[[#This Row],[Monthly Amount]]&lt;&gt;"",Expenses[[#This Row],[Monthly Amount]]/Income,"")</f>
        <v/>
      </c>
    </row>
    <row r="501" spans="2:8" ht="24" customHeight="1" x14ac:dyDescent="0.45">
      <c r="B501" s="31"/>
      <c r="C501" s="31"/>
      <c r="D501" s="32"/>
      <c r="E501" s="31"/>
      <c r="F50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1" s="26"/>
      <c r="H501" s="33" t="str">
        <f>IF(Expenses[[#This Row],[Monthly Amount]]&lt;&gt;"",Expenses[[#This Row],[Monthly Amount]]/Income,"")</f>
        <v/>
      </c>
    </row>
    <row r="502" spans="2:8" ht="24" customHeight="1" x14ac:dyDescent="0.45">
      <c r="B502" s="31"/>
      <c r="C502" s="31"/>
      <c r="D502" s="32"/>
      <c r="E502" s="31"/>
      <c r="F50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2" s="26"/>
      <c r="H502" s="33" t="str">
        <f>IF(Expenses[[#This Row],[Monthly Amount]]&lt;&gt;"",Expenses[[#This Row],[Monthly Amount]]/Income,"")</f>
        <v/>
      </c>
    </row>
    <row r="503" spans="2:8" ht="24" customHeight="1" x14ac:dyDescent="0.45">
      <c r="B503" s="31"/>
      <c r="C503" s="31"/>
      <c r="D503" s="32"/>
      <c r="E503" s="31"/>
      <c r="F50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3" s="26"/>
      <c r="H503" s="33" t="str">
        <f>IF(Expenses[[#This Row],[Monthly Amount]]&lt;&gt;"",Expenses[[#This Row],[Monthly Amount]]/Income,"")</f>
        <v/>
      </c>
    </row>
    <row r="504" spans="2:8" ht="24" customHeight="1" x14ac:dyDescent="0.45">
      <c r="B504" s="31"/>
      <c r="C504" s="31"/>
      <c r="D504" s="32"/>
      <c r="E504" s="31"/>
      <c r="F50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4" s="26"/>
      <c r="H504" s="33" t="str">
        <f>IF(Expenses[[#This Row],[Monthly Amount]]&lt;&gt;"",Expenses[[#This Row],[Monthly Amount]]/Income,"")</f>
        <v/>
      </c>
    </row>
    <row r="505" spans="2:8" ht="24" customHeight="1" x14ac:dyDescent="0.45">
      <c r="B505" s="31"/>
      <c r="C505" s="31"/>
      <c r="D505" s="32"/>
      <c r="E505" s="31"/>
      <c r="F50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5" s="26"/>
      <c r="H505" s="33" t="str">
        <f>IF(Expenses[[#This Row],[Monthly Amount]]&lt;&gt;"",Expenses[[#This Row],[Monthly Amount]]/Income,"")</f>
        <v/>
      </c>
    </row>
    <row r="506" spans="2:8" ht="24" customHeight="1" x14ac:dyDescent="0.45">
      <c r="B506" s="31"/>
      <c r="C506" s="31"/>
      <c r="D506" s="32"/>
      <c r="E506" s="31"/>
      <c r="F50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6" s="26"/>
      <c r="H506" s="33" t="str">
        <f>IF(Expenses[[#This Row],[Monthly Amount]]&lt;&gt;"",Expenses[[#This Row],[Monthly Amount]]/Income,"")</f>
        <v/>
      </c>
    </row>
    <row r="507" spans="2:8" ht="24" customHeight="1" x14ac:dyDescent="0.45">
      <c r="B507" s="31"/>
      <c r="C507" s="31"/>
      <c r="D507" s="32"/>
      <c r="E507" s="31"/>
      <c r="F50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7" s="26"/>
      <c r="H507" s="33" t="str">
        <f>IF(Expenses[[#This Row],[Monthly Amount]]&lt;&gt;"",Expenses[[#This Row],[Monthly Amount]]/Income,"")</f>
        <v/>
      </c>
    </row>
    <row r="508" spans="2:8" ht="24" customHeight="1" x14ac:dyDescent="0.45">
      <c r="B508" s="31"/>
      <c r="C508" s="31"/>
      <c r="D508" s="32"/>
      <c r="E508" s="31"/>
      <c r="F50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8" s="26"/>
      <c r="H508" s="33" t="str">
        <f>IF(Expenses[[#This Row],[Monthly Amount]]&lt;&gt;"",Expenses[[#This Row],[Monthly Amount]]/Income,"")</f>
        <v/>
      </c>
    </row>
    <row r="509" spans="2:8" ht="24" customHeight="1" x14ac:dyDescent="0.45">
      <c r="B509" s="31"/>
      <c r="C509" s="31"/>
      <c r="D509" s="32"/>
      <c r="E509" s="31"/>
      <c r="F50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09" s="26"/>
      <c r="H509" s="33" t="str">
        <f>IF(Expenses[[#This Row],[Monthly Amount]]&lt;&gt;"",Expenses[[#This Row],[Monthly Amount]]/Income,"")</f>
        <v/>
      </c>
    </row>
    <row r="510" spans="2:8" ht="24" customHeight="1" x14ac:dyDescent="0.45">
      <c r="B510" s="31"/>
      <c r="C510" s="31"/>
      <c r="D510" s="32"/>
      <c r="E510" s="31"/>
      <c r="F51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0" s="26"/>
      <c r="H510" s="33" t="str">
        <f>IF(Expenses[[#This Row],[Monthly Amount]]&lt;&gt;"",Expenses[[#This Row],[Monthly Amount]]/Income,"")</f>
        <v/>
      </c>
    </row>
    <row r="511" spans="2:8" ht="24" customHeight="1" x14ac:dyDescent="0.45">
      <c r="B511" s="31"/>
      <c r="C511" s="31"/>
      <c r="D511" s="32"/>
      <c r="E511" s="31"/>
      <c r="F51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1" s="26"/>
      <c r="H511" s="33" t="str">
        <f>IF(Expenses[[#This Row],[Monthly Amount]]&lt;&gt;"",Expenses[[#This Row],[Monthly Amount]]/Income,"")</f>
        <v/>
      </c>
    </row>
    <row r="512" spans="2:8" ht="24" customHeight="1" x14ac:dyDescent="0.45">
      <c r="B512" s="31"/>
      <c r="C512" s="31"/>
      <c r="D512" s="32"/>
      <c r="E512" s="31"/>
      <c r="F51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2" s="26"/>
      <c r="H512" s="33" t="str">
        <f>IF(Expenses[[#This Row],[Monthly Amount]]&lt;&gt;"",Expenses[[#This Row],[Monthly Amount]]/Income,"")</f>
        <v/>
      </c>
    </row>
    <row r="513" spans="2:8" ht="24" customHeight="1" x14ac:dyDescent="0.45">
      <c r="B513" s="31"/>
      <c r="C513" s="31"/>
      <c r="D513" s="32"/>
      <c r="E513" s="31"/>
      <c r="F51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3" s="26"/>
      <c r="H513" s="33" t="str">
        <f>IF(Expenses[[#This Row],[Monthly Amount]]&lt;&gt;"",Expenses[[#This Row],[Monthly Amount]]/Income,"")</f>
        <v/>
      </c>
    </row>
    <row r="514" spans="2:8" ht="24" customHeight="1" x14ac:dyDescent="0.45">
      <c r="B514" s="31"/>
      <c r="C514" s="31"/>
      <c r="D514" s="32"/>
      <c r="E514" s="31"/>
      <c r="F51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4" s="26"/>
      <c r="H514" s="33" t="str">
        <f>IF(Expenses[[#This Row],[Monthly Amount]]&lt;&gt;"",Expenses[[#This Row],[Monthly Amount]]/Income,"")</f>
        <v/>
      </c>
    </row>
    <row r="515" spans="2:8" ht="24" customHeight="1" x14ac:dyDescent="0.45">
      <c r="B515" s="31"/>
      <c r="C515" s="31"/>
      <c r="D515" s="32"/>
      <c r="E515" s="31"/>
      <c r="F51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5" s="26"/>
      <c r="H515" s="33" t="str">
        <f>IF(Expenses[[#This Row],[Monthly Amount]]&lt;&gt;"",Expenses[[#This Row],[Monthly Amount]]/Income,"")</f>
        <v/>
      </c>
    </row>
    <row r="516" spans="2:8" ht="24" customHeight="1" x14ac:dyDescent="0.45">
      <c r="B516" s="31"/>
      <c r="C516" s="31"/>
      <c r="D516" s="32"/>
      <c r="E516" s="31"/>
      <c r="F51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6" s="26"/>
      <c r="H516" s="33" t="str">
        <f>IF(Expenses[[#This Row],[Monthly Amount]]&lt;&gt;"",Expenses[[#This Row],[Monthly Amount]]/Income,"")</f>
        <v/>
      </c>
    </row>
    <row r="517" spans="2:8" ht="24" customHeight="1" x14ac:dyDescent="0.45">
      <c r="B517" s="31"/>
      <c r="C517" s="31"/>
      <c r="D517" s="32"/>
      <c r="E517" s="31"/>
      <c r="F51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7" s="26"/>
      <c r="H517" s="33" t="str">
        <f>IF(Expenses[[#This Row],[Monthly Amount]]&lt;&gt;"",Expenses[[#This Row],[Monthly Amount]]/Income,"")</f>
        <v/>
      </c>
    </row>
    <row r="518" spans="2:8" ht="24" customHeight="1" x14ac:dyDescent="0.45">
      <c r="B518" s="31"/>
      <c r="C518" s="31"/>
      <c r="D518" s="32"/>
      <c r="E518" s="31"/>
      <c r="F51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8" s="26"/>
      <c r="H518" s="33" t="str">
        <f>IF(Expenses[[#This Row],[Monthly Amount]]&lt;&gt;"",Expenses[[#This Row],[Monthly Amount]]/Income,"")</f>
        <v/>
      </c>
    </row>
    <row r="519" spans="2:8" ht="24" customHeight="1" x14ac:dyDescent="0.45">
      <c r="B519" s="31"/>
      <c r="C519" s="31"/>
      <c r="D519" s="32"/>
      <c r="E519" s="31"/>
      <c r="F51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19" s="26"/>
      <c r="H519" s="33" t="str">
        <f>IF(Expenses[[#This Row],[Monthly Amount]]&lt;&gt;"",Expenses[[#This Row],[Monthly Amount]]/Income,"")</f>
        <v/>
      </c>
    </row>
    <row r="520" spans="2:8" ht="24" customHeight="1" x14ac:dyDescent="0.45">
      <c r="B520" s="31"/>
      <c r="C520" s="31"/>
      <c r="D520" s="32"/>
      <c r="E520" s="31"/>
      <c r="F52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0" s="26"/>
      <c r="H520" s="33" t="str">
        <f>IF(Expenses[[#This Row],[Monthly Amount]]&lt;&gt;"",Expenses[[#This Row],[Monthly Amount]]/Income,"")</f>
        <v/>
      </c>
    </row>
    <row r="521" spans="2:8" ht="24" customHeight="1" x14ac:dyDescent="0.45">
      <c r="B521" s="31"/>
      <c r="C521" s="31"/>
      <c r="D521" s="32"/>
      <c r="E521" s="31"/>
      <c r="F52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1" s="26"/>
      <c r="H521" s="33" t="str">
        <f>IF(Expenses[[#This Row],[Monthly Amount]]&lt;&gt;"",Expenses[[#This Row],[Monthly Amount]]/Income,"")</f>
        <v/>
      </c>
    </row>
    <row r="522" spans="2:8" ht="24" customHeight="1" x14ac:dyDescent="0.45">
      <c r="B522" s="31"/>
      <c r="C522" s="31"/>
      <c r="D522" s="32"/>
      <c r="E522" s="31"/>
      <c r="F52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2" s="26"/>
      <c r="H522" s="33" t="str">
        <f>IF(Expenses[[#This Row],[Monthly Amount]]&lt;&gt;"",Expenses[[#This Row],[Monthly Amount]]/Income,"")</f>
        <v/>
      </c>
    </row>
    <row r="523" spans="2:8" ht="24" customHeight="1" x14ac:dyDescent="0.45">
      <c r="B523" s="31"/>
      <c r="C523" s="31"/>
      <c r="D523" s="32"/>
      <c r="E523" s="31"/>
      <c r="F52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3" s="26"/>
      <c r="H523" s="33" t="str">
        <f>IF(Expenses[[#This Row],[Monthly Amount]]&lt;&gt;"",Expenses[[#This Row],[Monthly Amount]]/Income,"")</f>
        <v/>
      </c>
    </row>
    <row r="524" spans="2:8" ht="24" customHeight="1" x14ac:dyDescent="0.45">
      <c r="B524" s="31"/>
      <c r="C524" s="31"/>
      <c r="D524" s="32"/>
      <c r="E524" s="31"/>
      <c r="F52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4" s="26"/>
      <c r="H524" s="33" t="str">
        <f>IF(Expenses[[#This Row],[Monthly Amount]]&lt;&gt;"",Expenses[[#This Row],[Monthly Amount]]/Income,"")</f>
        <v/>
      </c>
    </row>
    <row r="525" spans="2:8" ht="24" customHeight="1" x14ac:dyDescent="0.45">
      <c r="B525" s="31"/>
      <c r="C525" s="31"/>
      <c r="D525" s="32"/>
      <c r="E525" s="31"/>
      <c r="F52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5" s="26"/>
      <c r="H525" s="33" t="str">
        <f>IF(Expenses[[#This Row],[Monthly Amount]]&lt;&gt;"",Expenses[[#This Row],[Monthly Amount]]/Income,"")</f>
        <v/>
      </c>
    </row>
    <row r="526" spans="2:8" ht="24" customHeight="1" x14ac:dyDescent="0.45">
      <c r="B526" s="31"/>
      <c r="C526" s="31"/>
      <c r="D526" s="32"/>
      <c r="E526" s="31"/>
      <c r="F52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6" s="26"/>
      <c r="H526" s="33" t="str">
        <f>IF(Expenses[[#This Row],[Monthly Amount]]&lt;&gt;"",Expenses[[#This Row],[Monthly Amount]]/Income,"")</f>
        <v/>
      </c>
    </row>
    <row r="527" spans="2:8" ht="24" customHeight="1" x14ac:dyDescent="0.45">
      <c r="B527" s="31"/>
      <c r="C527" s="31"/>
      <c r="D527" s="32"/>
      <c r="E527" s="31"/>
      <c r="F52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7" s="26"/>
      <c r="H527" s="33" t="str">
        <f>IF(Expenses[[#This Row],[Monthly Amount]]&lt;&gt;"",Expenses[[#This Row],[Monthly Amount]]/Income,"")</f>
        <v/>
      </c>
    </row>
    <row r="528" spans="2:8" ht="24" customHeight="1" x14ac:dyDescent="0.45">
      <c r="B528" s="31"/>
      <c r="C528" s="31"/>
      <c r="D528" s="32"/>
      <c r="E528" s="31"/>
      <c r="F52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8" s="26"/>
      <c r="H528" s="33" t="str">
        <f>IF(Expenses[[#This Row],[Monthly Amount]]&lt;&gt;"",Expenses[[#This Row],[Monthly Amount]]/Income,"")</f>
        <v/>
      </c>
    </row>
    <row r="529" spans="2:8" ht="24" customHeight="1" x14ac:dyDescent="0.45">
      <c r="B529" s="31"/>
      <c r="C529" s="31"/>
      <c r="D529" s="32"/>
      <c r="E529" s="31"/>
      <c r="F52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29" s="26"/>
      <c r="H529" s="33" t="str">
        <f>IF(Expenses[[#This Row],[Monthly Amount]]&lt;&gt;"",Expenses[[#This Row],[Monthly Amount]]/Income,"")</f>
        <v/>
      </c>
    </row>
    <row r="530" spans="2:8" ht="24" customHeight="1" x14ac:dyDescent="0.45">
      <c r="B530" s="31"/>
      <c r="C530" s="31"/>
      <c r="D530" s="32"/>
      <c r="E530" s="31"/>
      <c r="F53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0" s="26"/>
      <c r="H530" s="33" t="str">
        <f>IF(Expenses[[#This Row],[Monthly Amount]]&lt;&gt;"",Expenses[[#This Row],[Monthly Amount]]/Income,"")</f>
        <v/>
      </c>
    </row>
    <row r="531" spans="2:8" ht="24" customHeight="1" x14ac:dyDescent="0.45">
      <c r="B531" s="31"/>
      <c r="C531" s="31"/>
      <c r="D531" s="32"/>
      <c r="E531" s="31"/>
      <c r="F53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1" s="26"/>
      <c r="H531" s="33" t="str">
        <f>IF(Expenses[[#This Row],[Monthly Amount]]&lt;&gt;"",Expenses[[#This Row],[Monthly Amount]]/Income,"")</f>
        <v/>
      </c>
    </row>
    <row r="532" spans="2:8" ht="24" customHeight="1" x14ac:dyDescent="0.45">
      <c r="B532" s="31"/>
      <c r="C532" s="31"/>
      <c r="D532" s="32"/>
      <c r="E532" s="31"/>
      <c r="F53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2" s="26"/>
      <c r="H532" s="33" t="str">
        <f>IF(Expenses[[#This Row],[Monthly Amount]]&lt;&gt;"",Expenses[[#This Row],[Monthly Amount]]/Income,"")</f>
        <v/>
      </c>
    </row>
    <row r="533" spans="2:8" ht="24" customHeight="1" x14ac:dyDescent="0.45">
      <c r="B533" s="31"/>
      <c r="C533" s="31"/>
      <c r="D533" s="32"/>
      <c r="E533" s="31"/>
      <c r="F53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3" s="26"/>
      <c r="H533" s="33" t="str">
        <f>IF(Expenses[[#This Row],[Monthly Amount]]&lt;&gt;"",Expenses[[#This Row],[Monthly Amount]]/Income,"")</f>
        <v/>
      </c>
    </row>
    <row r="534" spans="2:8" ht="24" customHeight="1" x14ac:dyDescent="0.45">
      <c r="B534" s="31"/>
      <c r="C534" s="31"/>
      <c r="D534" s="32"/>
      <c r="E534" s="31"/>
      <c r="F53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4" s="26"/>
      <c r="H534" s="33" t="str">
        <f>IF(Expenses[[#This Row],[Monthly Amount]]&lt;&gt;"",Expenses[[#This Row],[Monthly Amount]]/Income,"")</f>
        <v/>
      </c>
    </row>
    <row r="535" spans="2:8" ht="24" customHeight="1" x14ac:dyDescent="0.45">
      <c r="B535" s="31"/>
      <c r="C535" s="31"/>
      <c r="D535" s="32"/>
      <c r="E535" s="31"/>
      <c r="F53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5" s="26"/>
      <c r="H535" s="33" t="str">
        <f>IF(Expenses[[#This Row],[Monthly Amount]]&lt;&gt;"",Expenses[[#This Row],[Monthly Amount]]/Income,"")</f>
        <v/>
      </c>
    </row>
    <row r="536" spans="2:8" ht="24" customHeight="1" x14ac:dyDescent="0.45">
      <c r="B536" s="31"/>
      <c r="C536" s="31"/>
      <c r="D536" s="32"/>
      <c r="E536" s="31"/>
      <c r="F53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6" s="26"/>
      <c r="H536" s="33" t="str">
        <f>IF(Expenses[[#This Row],[Monthly Amount]]&lt;&gt;"",Expenses[[#This Row],[Monthly Amount]]/Income,"")</f>
        <v/>
      </c>
    </row>
    <row r="537" spans="2:8" ht="24" customHeight="1" x14ac:dyDescent="0.45">
      <c r="B537" s="31"/>
      <c r="C537" s="31"/>
      <c r="D537" s="32"/>
      <c r="E537" s="31"/>
      <c r="F53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7" s="26"/>
      <c r="H537" s="33" t="str">
        <f>IF(Expenses[[#This Row],[Monthly Amount]]&lt;&gt;"",Expenses[[#This Row],[Monthly Amount]]/Income,"")</f>
        <v/>
      </c>
    </row>
    <row r="538" spans="2:8" ht="24" customHeight="1" x14ac:dyDescent="0.45">
      <c r="B538" s="31"/>
      <c r="C538" s="31"/>
      <c r="D538" s="32"/>
      <c r="E538" s="31"/>
      <c r="F53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8" s="26"/>
      <c r="H538" s="33" t="str">
        <f>IF(Expenses[[#This Row],[Monthly Amount]]&lt;&gt;"",Expenses[[#This Row],[Monthly Amount]]/Income,"")</f>
        <v/>
      </c>
    </row>
    <row r="539" spans="2:8" ht="24" customHeight="1" x14ac:dyDescent="0.45">
      <c r="B539" s="31"/>
      <c r="C539" s="31"/>
      <c r="D539" s="32"/>
      <c r="E539" s="31"/>
      <c r="F53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39" s="26"/>
      <c r="H539" s="33" t="str">
        <f>IF(Expenses[[#This Row],[Monthly Amount]]&lt;&gt;"",Expenses[[#This Row],[Monthly Amount]]/Income,"")</f>
        <v/>
      </c>
    </row>
    <row r="540" spans="2:8" ht="24" customHeight="1" x14ac:dyDescent="0.45">
      <c r="B540" s="31"/>
      <c r="C540" s="31"/>
      <c r="D540" s="32"/>
      <c r="E540" s="31"/>
      <c r="F54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0" s="26"/>
      <c r="H540" s="33" t="str">
        <f>IF(Expenses[[#This Row],[Monthly Amount]]&lt;&gt;"",Expenses[[#This Row],[Monthly Amount]]/Income,"")</f>
        <v/>
      </c>
    </row>
    <row r="541" spans="2:8" ht="24" customHeight="1" x14ac:dyDescent="0.45">
      <c r="B541" s="31"/>
      <c r="C541" s="31"/>
      <c r="D541" s="32"/>
      <c r="E541" s="31"/>
      <c r="F54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1" s="26"/>
      <c r="H541" s="33" t="str">
        <f>IF(Expenses[[#This Row],[Monthly Amount]]&lt;&gt;"",Expenses[[#This Row],[Monthly Amount]]/Income,"")</f>
        <v/>
      </c>
    </row>
    <row r="542" spans="2:8" ht="24" customHeight="1" x14ac:dyDescent="0.45">
      <c r="B542" s="31"/>
      <c r="C542" s="31"/>
      <c r="D542" s="32"/>
      <c r="E542" s="31"/>
      <c r="F54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2" s="26"/>
      <c r="H542" s="33" t="str">
        <f>IF(Expenses[[#This Row],[Monthly Amount]]&lt;&gt;"",Expenses[[#This Row],[Monthly Amount]]/Income,"")</f>
        <v/>
      </c>
    </row>
    <row r="543" spans="2:8" ht="24" customHeight="1" x14ac:dyDescent="0.45">
      <c r="B543" s="31"/>
      <c r="C543" s="31"/>
      <c r="D543" s="32"/>
      <c r="E543" s="31"/>
      <c r="F54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3" s="26"/>
      <c r="H543" s="33" t="str">
        <f>IF(Expenses[[#This Row],[Monthly Amount]]&lt;&gt;"",Expenses[[#This Row],[Monthly Amount]]/Income,"")</f>
        <v/>
      </c>
    </row>
    <row r="544" spans="2:8" ht="24" customHeight="1" x14ac:dyDescent="0.45">
      <c r="B544" s="31"/>
      <c r="C544" s="31"/>
      <c r="D544" s="32"/>
      <c r="E544" s="31"/>
      <c r="F54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4" s="26"/>
      <c r="H544" s="33" t="str">
        <f>IF(Expenses[[#This Row],[Monthly Amount]]&lt;&gt;"",Expenses[[#This Row],[Monthly Amount]]/Income,"")</f>
        <v/>
      </c>
    </row>
    <row r="545" spans="2:8" ht="24" customHeight="1" x14ac:dyDescent="0.45">
      <c r="B545" s="31"/>
      <c r="C545" s="31"/>
      <c r="D545" s="32"/>
      <c r="E545" s="31"/>
      <c r="F54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5" s="26"/>
      <c r="H545" s="33" t="str">
        <f>IF(Expenses[[#This Row],[Monthly Amount]]&lt;&gt;"",Expenses[[#This Row],[Monthly Amount]]/Income,"")</f>
        <v/>
      </c>
    </row>
    <row r="546" spans="2:8" ht="24" customHeight="1" x14ac:dyDescent="0.45">
      <c r="B546" s="31"/>
      <c r="C546" s="31"/>
      <c r="D546" s="32"/>
      <c r="E546" s="31"/>
      <c r="F54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6" s="26"/>
      <c r="H546" s="33" t="str">
        <f>IF(Expenses[[#This Row],[Monthly Amount]]&lt;&gt;"",Expenses[[#This Row],[Monthly Amount]]/Income,"")</f>
        <v/>
      </c>
    </row>
    <row r="547" spans="2:8" ht="24" customHeight="1" x14ac:dyDescent="0.45">
      <c r="B547" s="31"/>
      <c r="C547" s="31"/>
      <c r="D547" s="32"/>
      <c r="E547" s="31"/>
      <c r="F54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7" s="26"/>
      <c r="H547" s="33" t="str">
        <f>IF(Expenses[[#This Row],[Monthly Amount]]&lt;&gt;"",Expenses[[#This Row],[Monthly Amount]]/Income,"")</f>
        <v/>
      </c>
    </row>
    <row r="548" spans="2:8" ht="24" customHeight="1" x14ac:dyDescent="0.45">
      <c r="B548" s="31"/>
      <c r="C548" s="31"/>
      <c r="D548" s="32"/>
      <c r="E548" s="31"/>
      <c r="F54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8" s="26"/>
      <c r="H548" s="33" t="str">
        <f>IF(Expenses[[#This Row],[Monthly Amount]]&lt;&gt;"",Expenses[[#This Row],[Monthly Amount]]/Income,"")</f>
        <v/>
      </c>
    </row>
    <row r="549" spans="2:8" ht="24" customHeight="1" x14ac:dyDescent="0.45">
      <c r="B549" s="31"/>
      <c r="C549" s="31"/>
      <c r="D549" s="32"/>
      <c r="E549" s="31"/>
      <c r="F54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49" s="26"/>
      <c r="H549" s="33" t="str">
        <f>IF(Expenses[[#This Row],[Monthly Amount]]&lt;&gt;"",Expenses[[#This Row],[Monthly Amount]]/Income,"")</f>
        <v/>
      </c>
    </row>
    <row r="550" spans="2:8" ht="24" customHeight="1" x14ac:dyDescent="0.45">
      <c r="B550" s="31"/>
      <c r="C550" s="31"/>
      <c r="D550" s="32"/>
      <c r="E550" s="31"/>
      <c r="F55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0" s="26"/>
      <c r="H550" s="33" t="str">
        <f>IF(Expenses[[#This Row],[Monthly Amount]]&lt;&gt;"",Expenses[[#This Row],[Monthly Amount]]/Income,"")</f>
        <v/>
      </c>
    </row>
    <row r="551" spans="2:8" ht="24" customHeight="1" x14ac:dyDescent="0.45">
      <c r="B551" s="31"/>
      <c r="C551" s="31"/>
      <c r="D551" s="32"/>
      <c r="E551" s="31"/>
      <c r="F55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1" s="26"/>
      <c r="H551" s="33" t="str">
        <f>IF(Expenses[[#This Row],[Monthly Amount]]&lt;&gt;"",Expenses[[#This Row],[Monthly Amount]]/Income,"")</f>
        <v/>
      </c>
    </row>
    <row r="552" spans="2:8" ht="24" customHeight="1" x14ac:dyDescent="0.45">
      <c r="B552" s="31"/>
      <c r="C552" s="31"/>
      <c r="D552" s="32"/>
      <c r="E552" s="31"/>
      <c r="F55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2" s="26"/>
      <c r="H552" s="33" t="str">
        <f>IF(Expenses[[#This Row],[Monthly Amount]]&lt;&gt;"",Expenses[[#This Row],[Monthly Amount]]/Income,"")</f>
        <v/>
      </c>
    </row>
    <row r="553" spans="2:8" ht="24" customHeight="1" x14ac:dyDescent="0.45">
      <c r="B553" s="31"/>
      <c r="C553" s="31"/>
      <c r="D553" s="32"/>
      <c r="E553" s="31"/>
      <c r="F55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3" s="26"/>
      <c r="H553" s="33" t="str">
        <f>IF(Expenses[[#This Row],[Monthly Amount]]&lt;&gt;"",Expenses[[#This Row],[Monthly Amount]]/Income,"")</f>
        <v/>
      </c>
    </row>
    <row r="554" spans="2:8" ht="24" customHeight="1" x14ac:dyDescent="0.45">
      <c r="B554" s="31"/>
      <c r="C554" s="31"/>
      <c r="D554" s="32"/>
      <c r="E554" s="31"/>
      <c r="F55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4" s="26"/>
      <c r="H554" s="33" t="str">
        <f>IF(Expenses[[#This Row],[Monthly Amount]]&lt;&gt;"",Expenses[[#This Row],[Monthly Amount]]/Income,"")</f>
        <v/>
      </c>
    </row>
    <row r="555" spans="2:8" ht="24" customHeight="1" x14ac:dyDescent="0.45">
      <c r="B555" s="31"/>
      <c r="C555" s="31"/>
      <c r="D555" s="32"/>
      <c r="E555" s="31"/>
      <c r="F55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5" s="26"/>
      <c r="H555" s="33" t="str">
        <f>IF(Expenses[[#This Row],[Monthly Amount]]&lt;&gt;"",Expenses[[#This Row],[Monthly Amount]]/Income,"")</f>
        <v/>
      </c>
    </row>
    <row r="556" spans="2:8" ht="24" customHeight="1" x14ac:dyDescent="0.45">
      <c r="B556" s="31"/>
      <c r="C556" s="31"/>
      <c r="D556" s="32"/>
      <c r="E556" s="31"/>
      <c r="F55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6" s="26"/>
      <c r="H556" s="33" t="str">
        <f>IF(Expenses[[#This Row],[Monthly Amount]]&lt;&gt;"",Expenses[[#This Row],[Monthly Amount]]/Income,"")</f>
        <v/>
      </c>
    </row>
    <row r="557" spans="2:8" ht="24" customHeight="1" x14ac:dyDescent="0.45">
      <c r="B557" s="31"/>
      <c r="C557" s="31"/>
      <c r="D557" s="32"/>
      <c r="E557" s="31"/>
      <c r="F55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7" s="26"/>
      <c r="H557" s="33" t="str">
        <f>IF(Expenses[[#This Row],[Monthly Amount]]&lt;&gt;"",Expenses[[#This Row],[Monthly Amount]]/Income,"")</f>
        <v/>
      </c>
    </row>
    <row r="558" spans="2:8" ht="24" customHeight="1" x14ac:dyDescent="0.45">
      <c r="B558" s="31"/>
      <c r="C558" s="31"/>
      <c r="D558" s="32"/>
      <c r="E558" s="31"/>
      <c r="F55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8" s="26"/>
      <c r="H558" s="33" t="str">
        <f>IF(Expenses[[#This Row],[Monthly Amount]]&lt;&gt;"",Expenses[[#This Row],[Monthly Amount]]/Income,"")</f>
        <v/>
      </c>
    </row>
    <row r="559" spans="2:8" ht="24" customHeight="1" x14ac:dyDescent="0.45">
      <c r="B559" s="31"/>
      <c r="C559" s="31"/>
      <c r="D559" s="32"/>
      <c r="E559" s="31"/>
      <c r="F55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59" s="26"/>
      <c r="H559" s="33" t="str">
        <f>IF(Expenses[[#This Row],[Monthly Amount]]&lt;&gt;"",Expenses[[#This Row],[Monthly Amount]]/Income,"")</f>
        <v/>
      </c>
    </row>
    <row r="560" spans="2:8" ht="24" customHeight="1" x14ac:dyDescent="0.45">
      <c r="B560" s="31"/>
      <c r="C560" s="31"/>
      <c r="D560" s="32"/>
      <c r="E560" s="31"/>
      <c r="F56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0" s="26"/>
      <c r="H560" s="33" t="str">
        <f>IF(Expenses[[#This Row],[Monthly Amount]]&lt;&gt;"",Expenses[[#This Row],[Monthly Amount]]/Income,"")</f>
        <v/>
      </c>
    </row>
    <row r="561" spans="2:8" ht="24" customHeight="1" x14ac:dyDescent="0.45">
      <c r="B561" s="31"/>
      <c r="C561" s="31"/>
      <c r="D561" s="32"/>
      <c r="E561" s="31"/>
      <c r="F56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1" s="26"/>
      <c r="H561" s="33" t="str">
        <f>IF(Expenses[[#This Row],[Monthly Amount]]&lt;&gt;"",Expenses[[#This Row],[Monthly Amount]]/Income,"")</f>
        <v/>
      </c>
    </row>
    <row r="562" spans="2:8" ht="24" customHeight="1" x14ac:dyDescent="0.45">
      <c r="B562" s="31"/>
      <c r="C562" s="31"/>
      <c r="D562" s="32"/>
      <c r="E562" s="31"/>
      <c r="F56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2" s="26"/>
      <c r="H562" s="33" t="str">
        <f>IF(Expenses[[#This Row],[Monthly Amount]]&lt;&gt;"",Expenses[[#This Row],[Monthly Amount]]/Income,"")</f>
        <v/>
      </c>
    </row>
    <row r="563" spans="2:8" ht="24" customHeight="1" x14ac:dyDescent="0.45">
      <c r="B563" s="31"/>
      <c r="C563" s="31"/>
      <c r="D563" s="32"/>
      <c r="E563" s="31"/>
      <c r="F56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3" s="26"/>
      <c r="H563" s="33" t="str">
        <f>IF(Expenses[[#This Row],[Monthly Amount]]&lt;&gt;"",Expenses[[#This Row],[Monthly Amount]]/Income,"")</f>
        <v/>
      </c>
    </row>
    <row r="564" spans="2:8" ht="24" customHeight="1" x14ac:dyDescent="0.45">
      <c r="B564" s="31"/>
      <c r="C564" s="31"/>
      <c r="D564" s="32"/>
      <c r="E564" s="31"/>
      <c r="F56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4" s="26"/>
      <c r="H564" s="33" t="str">
        <f>IF(Expenses[[#This Row],[Monthly Amount]]&lt;&gt;"",Expenses[[#This Row],[Monthly Amount]]/Income,"")</f>
        <v/>
      </c>
    </row>
    <row r="565" spans="2:8" ht="24" customHeight="1" x14ac:dyDescent="0.45">
      <c r="B565" s="31"/>
      <c r="C565" s="31"/>
      <c r="D565" s="32"/>
      <c r="E565" s="31"/>
      <c r="F56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5" s="26"/>
      <c r="H565" s="33" t="str">
        <f>IF(Expenses[[#This Row],[Monthly Amount]]&lt;&gt;"",Expenses[[#This Row],[Monthly Amount]]/Income,"")</f>
        <v/>
      </c>
    </row>
    <row r="566" spans="2:8" ht="24" customHeight="1" x14ac:dyDescent="0.45">
      <c r="B566" s="31"/>
      <c r="C566" s="31"/>
      <c r="D566" s="32"/>
      <c r="E566" s="31"/>
      <c r="F56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6" s="26"/>
      <c r="H566" s="33" t="str">
        <f>IF(Expenses[[#This Row],[Monthly Amount]]&lt;&gt;"",Expenses[[#This Row],[Monthly Amount]]/Income,"")</f>
        <v/>
      </c>
    </row>
    <row r="567" spans="2:8" ht="24" customHeight="1" x14ac:dyDescent="0.45">
      <c r="B567" s="31"/>
      <c r="C567" s="31"/>
      <c r="D567" s="32"/>
      <c r="E567" s="31"/>
      <c r="F56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7" s="26"/>
      <c r="H567" s="33" t="str">
        <f>IF(Expenses[[#This Row],[Monthly Amount]]&lt;&gt;"",Expenses[[#This Row],[Monthly Amount]]/Income,"")</f>
        <v/>
      </c>
    </row>
    <row r="568" spans="2:8" ht="24" customHeight="1" x14ac:dyDescent="0.45">
      <c r="B568" s="31"/>
      <c r="C568" s="31"/>
      <c r="D568" s="32"/>
      <c r="E568" s="31"/>
      <c r="F56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8" s="26"/>
      <c r="H568" s="33" t="str">
        <f>IF(Expenses[[#This Row],[Monthly Amount]]&lt;&gt;"",Expenses[[#This Row],[Monthly Amount]]/Income,"")</f>
        <v/>
      </c>
    </row>
    <row r="569" spans="2:8" ht="24" customHeight="1" x14ac:dyDescent="0.45">
      <c r="B569" s="31"/>
      <c r="C569" s="31"/>
      <c r="D569" s="32"/>
      <c r="E569" s="31"/>
      <c r="F56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69" s="26"/>
      <c r="H569" s="33" t="str">
        <f>IF(Expenses[[#This Row],[Monthly Amount]]&lt;&gt;"",Expenses[[#This Row],[Monthly Amount]]/Income,"")</f>
        <v/>
      </c>
    </row>
    <row r="570" spans="2:8" ht="24" customHeight="1" x14ac:dyDescent="0.45">
      <c r="B570" s="31"/>
      <c r="C570" s="31"/>
      <c r="D570" s="32"/>
      <c r="E570" s="31"/>
      <c r="F57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0" s="26"/>
      <c r="H570" s="33" t="str">
        <f>IF(Expenses[[#This Row],[Monthly Amount]]&lt;&gt;"",Expenses[[#This Row],[Monthly Amount]]/Income,"")</f>
        <v/>
      </c>
    </row>
    <row r="571" spans="2:8" ht="24" customHeight="1" x14ac:dyDescent="0.45">
      <c r="B571" s="31"/>
      <c r="C571" s="31"/>
      <c r="D571" s="32"/>
      <c r="E571" s="31"/>
      <c r="F57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1" s="26"/>
      <c r="H571" s="33" t="str">
        <f>IF(Expenses[[#This Row],[Monthly Amount]]&lt;&gt;"",Expenses[[#This Row],[Monthly Amount]]/Income,"")</f>
        <v/>
      </c>
    </row>
    <row r="572" spans="2:8" ht="24" customHeight="1" x14ac:dyDescent="0.45">
      <c r="B572" s="31"/>
      <c r="C572" s="31"/>
      <c r="D572" s="32"/>
      <c r="E572" s="31"/>
      <c r="F57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2" s="26"/>
      <c r="H572" s="33" t="str">
        <f>IF(Expenses[[#This Row],[Monthly Amount]]&lt;&gt;"",Expenses[[#This Row],[Monthly Amount]]/Income,"")</f>
        <v/>
      </c>
    </row>
    <row r="573" spans="2:8" ht="24" customHeight="1" x14ac:dyDescent="0.45">
      <c r="B573" s="31"/>
      <c r="C573" s="31"/>
      <c r="D573" s="32"/>
      <c r="E573" s="31"/>
      <c r="F57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3" s="26"/>
      <c r="H573" s="33" t="str">
        <f>IF(Expenses[[#This Row],[Monthly Amount]]&lt;&gt;"",Expenses[[#This Row],[Monthly Amount]]/Income,"")</f>
        <v/>
      </c>
    </row>
    <row r="574" spans="2:8" ht="24" customHeight="1" x14ac:dyDescent="0.45">
      <c r="B574" s="31"/>
      <c r="C574" s="31"/>
      <c r="D574" s="32"/>
      <c r="E574" s="31"/>
      <c r="F57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4" s="26"/>
      <c r="H574" s="33" t="str">
        <f>IF(Expenses[[#This Row],[Monthly Amount]]&lt;&gt;"",Expenses[[#This Row],[Monthly Amount]]/Income,"")</f>
        <v/>
      </c>
    </row>
    <row r="575" spans="2:8" ht="24" customHeight="1" x14ac:dyDescent="0.45">
      <c r="B575" s="31"/>
      <c r="C575" s="31"/>
      <c r="D575" s="32"/>
      <c r="E575" s="31"/>
      <c r="F57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5" s="26"/>
      <c r="H575" s="33" t="str">
        <f>IF(Expenses[[#This Row],[Monthly Amount]]&lt;&gt;"",Expenses[[#This Row],[Monthly Amount]]/Income,"")</f>
        <v/>
      </c>
    </row>
    <row r="576" spans="2:8" ht="24" customHeight="1" x14ac:dyDescent="0.45">
      <c r="B576" s="31"/>
      <c r="C576" s="31"/>
      <c r="D576" s="32"/>
      <c r="E576" s="31"/>
      <c r="F57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6" s="26"/>
      <c r="H576" s="33" t="str">
        <f>IF(Expenses[[#This Row],[Monthly Amount]]&lt;&gt;"",Expenses[[#This Row],[Monthly Amount]]/Income,"")</f>
        <v/>
      </c>
    </row>
    <row r="577" spans="2:8" ht="24" customHeight="1" x14ac:dyDescent="0.45">
      <c r="B577" s="31"/>
      <c r="C577" s="31"/>
      <c r="D577" s="32"/>
      <c r="E577" s="31"/>
      <c r="F57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7" s="26"/>
      <c r="H577" s="33" t="str">
        <f>IF(Expenses[[#This Row],[Monthly Amount]]&lt;&gt;"",Expenses[[#This Row],[Monthly Amount]]/Income,"")</f>
        <v/>
      </c>
    </row>
    <row r="578" spans="2:8" ht="24" customHeight="1" x14ac:dyDescent="0.45">
      <c r="B578" s="31"/>
      <c r="C578" s="31"/>
      <c r="D578" s="32"/>
      <c r="E578" s="31"/>
      <c r="F57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8" s="26"/>
      <c r="H578" s="33" t="str">
        <f>IF(Expenses[[#This Row],[Monthly Amount]]&lt;&gt;"",Expenses[[#This Row],[Monthly Amount]]/Income,"")</f>
        <v/>
      </c>
    </row>
    <row r="579" spans="2:8" ht="24" customHeight="1" x14ac:dyDescent="0.45">
      <c r="B579" s="31"/>
      <c r="C579" s="31"/>
      <c r="D579" s="32"/>
      <c r="E579" s="31"/>
      <c r="F57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79" s="26"/>
      <c r="H579" s="33" t="str">
        <f>IF(Expenses[[#This Row],[Monthly Amount]]&lt;&gt;"",Expenses[[#This Row],[Monthly Amount]]/Income,"")</f>
        <v/>
      </c>
    </row>
    <row r="580" spans="2:8" ht="24" customHeight="1" x14ac:dyDescent="0.45">
      <c r="B580" s="31"/>
      <c r="C580" s="31"/>
      <c r="D580" s="32"/>
      <c r="E580" s="31"/>
      <c r="F58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0" s="26"/>
      <c r="H580" s="33" t="str">
        <f>IF(Expenses[[#This Row],[Monthly Amount]]&lt;&gt;"",Expenses[[#This Row],[Monthly Amount]]/Income,"")</f>
        <v/>
      </c>
    </row>
    <row r="581" spans="2:8" ht="24" customHeight="1" x14ac:dyDescent="0.45">
      <c r="B581" s="31"/>
      <c r="C581" s="31"/>
      <c r="D581" s="32"/>
      <c r="E581" s="31"/>
      <c r="F58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1" s="26"/>
      <c r="H581" s="33" t="str">
        <f>IF(Expenses[[#This Row],[Monthly Amount]]&lt;&gt;"",Expenses[[#This Row],[Monthly Amount]]/Income,"")</f>
        <v/>
      </c>
    </row>
    <row r="582" spans="2:8" ht="24" customHeight="1" x14ac:dyDescent="0.45">
      <c r="B582" s="31"/>
      <c r="C582" s="31"/>
      <c r="D582" s="32"/>
      <c r="E582" s="31"/>
      <c r="F58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2" s="26"/>
      <c r="H582" s="33" t="str">
        <f>IF(Expenses[[#This Row],[Monthly Amount]]&lt;&gt;"",Expenses[[#This Row],[Monthly Amount]]/Income,"")</f>
        <v/>
      </c>
    </row>
    <row r="583" spans="2:8" ht="24" customHeight="1" x14ac:dyDescent="0.45">
      <c r="B583" s="31"/>
      <c r="C583" s="31"/>
      <c r="D583" s="32"/>
      <c r="E583" s="31"/>
      <c r="F58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3" s="26"/>
      <c r="H583" s="33" t="str">
        <f>IF(Expenses[[#This Row],[Monthly Amount]]&lt;&gt;"",Expenses[[#This Row],[Monthly Amount]]/Income,"")</f>
        <v/>
      </c>
    </row>
    <row r="584" spans="2:8" ht="24" customHeight="1" x14ac:dyDescent="0.45">
      <c r="B584" s="31"/>
      <c r="C584" s="31"/>
      <c r="D584" s="32"/>
      <c r="E584" s="31"/>
      <c r="F58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4" s="26"/>
      <c r="H584" s="33" t="str">
        <f>IF(Expenses[[#This Row],[Monthly Amount]]&lt;&gt;"",Expenses[[#This Row],[Monthly Amount]]/Income,"")</f>
        <v/>
      </c>
    </row>
    <row r="585" spans="2:8" ht="24" customHeight="1" x14ac:dyDescent="0.45">
      <c r="B585" s="31"/>
      <c r="C585" s="31"/>
      <c r="D585" s="32"/>
      <c r="E585" s="31"/>
      <c r="F58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5" s="26"/>
      <c r="H585" s="33" t="str">
        <f>IF(Expenses[[#This Row],[Monthly Amount]]&lt;&gt;"",Expenses[[#This Row],[Monthly Amount]]/Income,"")</f>
        <v/>
      </c>
    </row>
    <row r="586" spans="2:8" ht="24" customHeight="1" x14ac:dyDescent="0.45">
      <c r="B586" s="31"/>
      <c r="C586" s="31"/>
      <c r="D586" s="32"/>
      <c r="E586" s="31"/>
      <c r="F58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6" s="26"/>
      <c r="H586" s="33" t="str">
        <f>IF(Expenses[[#This Row],[Monthly Amount]]&lt;&gt;"",Expenses[[#This Row],[Monthly Amount]]/Income,"")</f>
        <v/>
      </c>
    </row>
    <row r="587" spans="2:8" ht="24" customHeight="1" x14ac:dyDescent="0.45">
      <c r="B587" s="31"/>
      <c r="C587" s="31"/>
      <c r="D587" s="32"/>
      <c r="E587" s="31"/>
      <c r="F58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7" s="26"/>
      <c r="H587" s="33" t="str">
        <f>IF(Expenses[[#This Row],[Monthly Amount]]&lt;&gt;"",Expenses[[#This Row],[Monthly Amount]]/Income,"")</f>
        <v/>
      </c>
    </row>
    <row r="588" spans="2:8" ht="24" customHeight="1" x14ac:dyDescent="0.45">
      <c r="B588" s="31"/>
      <c r="C588" s="31"/>
      <c r="D588" s="32"/>
      <c r="E588" s="31"/>
      <c r="F58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8" s="26"/>
      <c r="H588" s="33" t="str">
        <f>IF(Expenses[[#This Row],[Monthly Amount]]&lt;&gt;"",Expenses[[#This Row],[Monthly Amount]]/Income,"")</f>
        <v/>
      </c>
    </row>
    <row r="589" spans="2:8" ht="24" customHeight="1" x14ac:dyDescent="0.45">
      <c r="B589" s="31"/>
      <c r="C589" s="31"/>
      <c r="D589" s="32"/>
      <c r="E589" s="31"/>
      <c r="F58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89" s="26"/>
      <c r="H589" s="33" t="str">
        <f>IF(Expenses[[#This Row],[Monthly Amount]]&lt;&gt;"",Expenses[[#This Row],[Monthly Amount]]/Income,"")</f>
        <v/>
      </c>
    </row>
    <row r="590" spans="2:8" ht="24" customHeight="1" x14ac:dyDescent="0.45">
      <c r="B590" s="31"/>
      <c r="C590" s="31"/>
      <c r="D590" s="32"/>
      <c r="E590" s="31"/>
      <c r="F59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0" s="26"/>
      <c r="H590" s="33" t="str">
        <f>IF(Expenses[[#This Row],[Monthly Amount]]&lt;&gt;"",Expenses[[#This Row],[Monthly Amount]]/Income,"")</f>
        <v/>
      </c>
    </row>
    <row r="591" spans="2:8" ht="24" customHeight="1" x14ac:dyDescent="0.45">
      <c r="B591" s="31"/>
      <c r="C591" s="31"/>
      <c r="D591" s="32"/>
      <c r="E591" s="31"/>
      <c r="F59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1" s="26"/>
      <c r="H591" s="33" t="str">
        <f>IF(Expenses[[#This Row],[Monthly Amount]]&lt;&gt;"",Expenses[[#This Row],[Monthly Amount]]/Income,"")</f>
        <v/>
      </c>
    </row>
    <row r="592" spans="2:8" ht="24" customHeight="1" x14ac:dyDescent="0.45">
      <c r="B592" s="31"/>
      <c r="C592" s="31"/>
      <c r="D592" s="32"/>
      <c r="E592" s="31"/>
      <c r="F59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2" s="26"/>
      <c r="H592" s="33" t="str">
        <f>IF(Expenses[[#This Row],[Monthly Amount]]&lt;&gt;"",Expenses[[#This Row],[Monthly Amount]]/Income,"")</f>
        <v/>
      </c>
    </row>
    <row r="593" spans="2:8" ht="24" customHeight="1" x14ac:dyDescent="0.45">
      <c r="B593" s="31"/>
      <c r="C593" s="31"/>
      <c r="D593" s="32"/>
      <c r="E593" s="31"/>
      <c r="F59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3" s="26"/>
      <c r="H593" s="33" t="str">
        <f>IF(Expenses[[#This Row],[Monthly Amount]]&lt;&gt;"",Expenses[[#This Row],[Monthly Amount]]/Income,"")</f>
        <v/>
      </c>
    </row>
    <row r="594" spans="2:8" ht="24" customHeight="1" x14ac:dyDescent="0.45">
      <c r="B594" s="31"/>
      <c r="C594" s="31"/>
      <c r="D594" s="32"/>
      <c r="E594" s="31"/>
      <c r="F59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4" s="26"/>
      <c r="H594" s="33" t="str">
        <f>IF(Expenses[[#This Row],[Monthly Amount]]&lt;&gt;"",Expenses[[#This Row],[Monthly Amount]]/Income,"")</f>
        <v/>
      </c>
    </row>
    <row r="595" spans="2:8" ht="24" customHeight="1" x14ac:dyDescent="0.45">
      <c r="B595" s="31"/>
      <c r="C595" s="31"/>
      <c r="D595" s="32"/>
      <c r="E595" s="31"/>
      <c r="F59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5" s="26"/>
      <c r="H595" s="33" t="str">
        <f>IF(Expenses[[#This Row],[Monthly Amount]]&lt;&gt;"",Expenses[[#This Row],[Monthly Amount]]/Income,"")</f>
        <v/>
      </c>
    </row>
    <row r="596" spans="2:8" ht="24" customHeight="1" x14ac:dyDescent="0.45">
      <c r="B596" s="31"/>
      <c r="C596" s="31"/>
      <c r="D596" s="32"/>
      <c r="E596" s="31"/>
      <c r="F59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6" s="26"/>
      <c r="H596" s="33" t="str">
        <f>IF(Expenses[[#This Row],[Monthly Amount]]&lt;&gt;"",Expenses[[#This Row],[Monthly Amount]]/Income,"")</f>
        <v/>
      </c>
    </row>
    <row r="597" spans="2:8" ht="24" customHeight="1" x14ac:dyDescent="0.45">
      <c r="B597" s="31"/>
      <c r="C597" s="31"/>
      <c r="D597" s="32"/>
      <c r="E597" s="31"/>
      <c r="F59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7" s="26"/>
      <c r="H597" s="33" t="str">
        <f>IF(Expenses[[#This Row],[Monthly Amount]]&lt;&gt;"",Expenses[[#This Row],[Monthly Amount]]/Income,"")</f>
        <v/>
      </c>
    </row>
    <row r="598" spans="2:8" ht="24" customHeight="1" x14ac:dyDescent="0.45">
      <c r="B598" s="31"/>
      <c r="C598" s="31"/>
      <c r="D598" s="32"/>
      <c r="E598" s="31"/>
      <c r="F59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8" s="26"/>
      <c r="H598" s="33" t="str">
        <f>IF(Expenses[[#This Row],[Monthly Amount]]&lt;&gt;"",Expenses[[#This Row],[Monthly Amount]]/Income,"")</f>
        <v/>
      </c>
    </row>
    <row r="599" spans="2:8" ht="24" customHeight="1" x14ac:dyDescent="0.45">
      <c r="B599" s="31"/>
      <c r="C599" s="31"/>
      <c r="D599" s="32"/>
      <c r="E599" s="31"/>
      <c r="F59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599" s="26"/>
      <c r="H599" s="33" t="str">
        <f>IF(Expenses[[#This Row],[Monthly Amount]]&lt;&gt;"",Expenses[[#This Row],[Monthly Amount]]/Income,"")</f>
        <v/>
      </c>
    </row>
    <row r="600" spans="2:8" ht="24" customHeight="1" x14ac:dyDescent="0.45">
      <c r="B600" s="31"/>
      <c r="C600" s="31"/>
      <c r="D600" s="32"/>
      <c r="E600" s="31"/>
      <c r="F60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0" s="26"/>
      <c r="H600" s="33" t="str">
        <f>IF(Expenses[[#This Row],[Monthly Amount]]&lt;&gt;"",Expenses[[#This Row],[Monthly Amount]]/Income,"")</f>
        <v/>
      </c>
    </row>
    <row r="601" spans="2:8" ht="24" customHeight="1" x14ac:dyDescent="0.45">
      <c r="B601" s="31"/>
      <c r="C601" s="31"/>
      <c r="D601" s="32"/>
      <c r="E601" s="31"/>
      <c r="F60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1" s="26"/>
      <c r="H601" s="33" t="str">
        <f>IF(Expenses[[#This Row],[Monthly Amount]]&lt;&gt;"",Expenses[[#This Row],[Monthly Amount]]/Income,"")</f>
        <v/>
      </c>
    </row>
    <row r="602" spans="2:8" ht="24" customHeight="1" x14ac:dyDescent="0.45">
      <c r="B602" s="31"/>
      <c r="C602" s="31"/>
      <c r="D602" s="32"/>
      <c r="E602" s="31"/>
      <c r="F60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2" s="26"/>
      <c r="H602" s="33" t="str">
        <f>IF(Expenses[[#This Row],[Monthly Amount]]&lt;&gt;"",Expenses[[#This Row],[Monthly Amount]]/Income,"")</f>
        <v/>
      </c>
    </row>
    <row r="603" spans="2:8" ht="24" customHeight="1" x14ac:dyDescent="0.45">
      <c r="B603" s="31"/>
      <c r="C603" s="31"/>
      <c r="D603" s="32"/>
      <c r="E603" s="31"/>
      <c r="F60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3" s="26"/>
      <c r="H603" s="33" t="str">
        <f>IF(Expenses[[#This Row],[Monthly Amount]]&lt;&gt;"",Expenses[[#This Row],[Monthly Amount]]/Income,"")</f>
        <v/>
      </c>
    </row>
    <row r="604" spans="2:8" ht="24" customHeight="1" x14ac:dyDescent="0.45">
      <c r="B604" s="31"/>
      <c r="C604" s="31"/>
      <c r="D604" s="32"/>
      <c r="E604" s="31"/>
      <c r="F60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4" s="26"/>
      <c r="H604" s="33" t="str">
        <f>IF(Expenses[[#This Row],[Monthly Amount]]&lt;&gt;"",Expenses[[#This Row],[Monthly Amount]]/Income,"")</f>
        <v/>
      </c>
    </row>
    <row r="605" spans="2:8" ht="24" customHeight="1" x14ac:dyDescent="0.45">
      <c r="B605" s="31"/>
      <c r="C605" s="31"/>
      <c r="D605" s="32"/>
      <c r="E605" s="31"/>
      <c r="F60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5" s="26"/>
      <c r="H605" s="33" t="str">
        <f>IF(Expenses[[#This Row],[Monthly Amount]]&lt;&gt;"",Expenses[[#This Row],[Monthly Amount]]/Income,"")</f>
        <v/>
      </c>
    </row>
    <row r="606" spans="2:8" ht="24" customHeight="1" x14ac:dyDescent="0.45">
      <c r="B606" s="31"/>
      <c r="C606" s="31"/>
      <c r="D606" s="32"/>
      <c r="E606" s="31"/>
      <c r="F60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6" s="26"/>
      <c r="H606" s="33" t="str">
        <f>IF(Expenses[[#This Row],[Monthly Amount]]&lt;&gt;"",Expenses[[#This Row],[Monthly Amount]]/Income,"")</f>
        <v/>
      </c>
    </row>
    <row r="607" spans="2:8" ht="24" customHeight="1" x14ac:dyDescent="0.45">
      <c r="B607" s="31"/>
      <c r="C607" s="31"/>
      <c r="D607" s="32"/>
      <c r="E607" s="31"/>
      <c r="F60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7" s="26"/>
      <c r="H607" s="33" t="str">
        <f>IF(Expenses[[#This Row],[Monthly Amount]]&lt;&gt;"",Expenses[[#This Row],[Monthly Amount]]/Income,"")</f>
        <v/>
      </c>
    </row>
    <row r="608" spans="2:8" ht="24" customHeight="1" x14ac:dyDescent="0.45">
      <c r="B608" s="31"/>
      <c r="C608" s="31"/>
      <c r="D608" s="32"/>
      <c r="E608" s="31"/>
      <c r="F60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8" s="26"/>
      <c r="H608" s="33" t="str">
        <f>IF(Expenses[[#This Row],[Monthly Amount]]&lt;&gt;"",Expenses[[#This Row],[Monthly Amount]]/Income,"")</f>
        <v/>
      </c>
    </row>
    <row r="609" spans="2:8" ht="24" customHeight="1" x14ac:dyDescent="0.45">
      <c r="B609" s="31"/>
      <c r="C609" s="31"/>
      <c r="D609" s="32"/>
      <c r="E609" s="31"/>
      <c r="F60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09" s="26"/>
      <c r="H609" s="33" t="str">
        <f>IF(Expenses[[#This Row],[Monthly Amount]]&lt;&gt;"",Expenses[[#This Row],[Monthly Amount]]/Income,"")</f>
        <v/>
      </c>
    </row>
    <row r="610" spans="2:8" ht="24" customHeight="1" x14ac:dyDescent="0.45">
      <c r="B610" s="31"/>
      <c r="C610" s="31"/>
      <c r="D610" s="32"/>
      <c r="E610" s="31"/>
      <c r="F61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0" s="26"/>
      <c r="H610" s="33" t="str">
        <f>IF(Expenses[[#This Row],[Monthly Amount]]&lt;&gt;"",Expenses[[#This Row],[Monthly Amount]]/Income,"")</f>
        <v/>
      </c>
    </row>
    <row r="611" spans="2:8" ht="24" customHeight="1" x14ac:dyDescent="0.45">
      <c r="B611" s="31"/>
      <c r="C611" s="31"/>
      <c r="D611" s="32"/>
      <c r="E611" s="31"/>
      <c r="F61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1" s="26"/>
      <c r="H611" s="33" t="str">
        <f>IF(Expenses[[#This Row],[Monthly Amount]]&lt;&gt;"",Expenses[[#This Row],[Monthly Amount]]/Income,"")</f>
        <v/>
      </c>
    </row>
    <row r="612" spans="2:8" ht="24" customHeight="1" x14ac:dyDescent="0.45">
      <c r="B612" s="31"/>
      <c r="C612" s="31"/>
      <c r="D612" s="32"/>
      <c r="E612" s="31"/>
      <c r="F61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2" s="26"/>
      <c r="H612" s="33" t="str">
        <f>IF(Expenses[[#This Row],[Monthly Amount]]&lt;&gt;"",Expenses[[#This Row],[Monthly Amount]]/Income,"")</f>
        <v/>
      </c>
    </row>
    <row r="613" spans="2:8" ht="24" customHeight="1" x14ac:dyDescent="0.45">
      <c r="B613" s="31"/>
      <c r="C613" s="31"/>
      <c r="D613" s="32"/>
      <c r="E613" s="31"/>
      <c r="F61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3" s="26"/>
      <c r="H613" s="33" t="str">
        <f>IF(Expenses[[#This Row],[Monthly Amount]]&lt;&gt;"",Expenses[[#This Row],[Monthly Amount]]/Income,"")</f>
        <v/>
      </c>
    </row>
    <row r="614" spans="2:8" ht="24" customHeight="1" x14ac:dyDescent="0.45">
      <c r="B614" s="31"/>
      <c r="C614" s="31"/>
      <c r="D614" s="32"/>
      <c r="E614" s="31"/>
      <c r="F61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4" s="26"/>
      <c r="H614" s="33" t="str">
        <f>IF(Expenses[[#This Row],[Monthly Amount]]&lt;&gt;"",Expenses[[#This Row],[Monthly Amount]]/Income,"")</f>
        <v/>
      </c>
    </row>
    <row r="615" spans="2:8" ht="24" customHeight="1" x14ac:dyDescent="0.45">
      <c r="B615" s="31"/>
      <c r="C615" s="31"/>
      <c r="D615" s="32"/>
      <c r="E615" s="31"/>
      <c r="F61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5" s="26"/>
      <c r="H615" s="33" t="str">
        <f>IF(Expenses[[#This Row],[Monthly Amount]]&lt;&gt;"",Expenses[[#This Row],[Monthly Amount]]/Income,"")</f>
        <v/>
      </c>
    </row>
    <row r="616" spans="2:8" ht="24" customHeight="1" x14ac:dyDescent="0.45">
      <c r="B616" s="31"/>
      <c r="C616" s="31"/>
      <c r="D616" s="32"/>
      <c r="E616" s="31"/>
      <c r="F61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6" s="26"/>
      <c r="H616" s="33" t="str">
        <f>IF(Expenses[[#This Row],[Monthly Amount]]&lt;&gt;"",Expenses[[#This Row],[Monthly Amount]]/Income,"")</f>
        <v/>
      </c>
    </row>
    <row r="617" spans="2:8" ht="24" customHeight="1" x14ac:dyDescent="0.45">
      <c r="B617" s="31"/>
      <c r="C617" s="31"/>
      <c r="D617" s="32"/>
      <c r="E617" s="31"/>
      <c r="F61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7" s="26"/>
      <c r="H617" s="33" t="str">
        <f>IF(Expenses[[#This Row],[Monthly Amount]]&lt;&gt;"",Expenses[[#This Row],[Monthly Amount]]/Income,"")</f>
        <v/>
      </c>
    </row>
    <row r="618" spans="2:8" ht="24" customHeight="1" x14ac:dyDescent="0.45">
      <c r="B618" s="31"/>
      <c r="C618" s="31"/>
      <c r="D618" s="32"/>
      <c r="E618" s="31"/>
      <c r="F61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8" s="26"/>
      <c r="H618" s="33" t="str">
        <f>IF(Expenses[[#This Row],[Monthly Amount]]&lt;&gt;"",Expenses[[#This Row],[Monthly Amount]]/Income,"")</f>
        <v/>
      </c>
    </row>
    <row r="619" spans="2:8" ht="24" customHeight="1" x14ac:dyDescent="0.45">
      <c r="B619" s="31"/>
      <c r="C619" s="31"/>
      <c r="D619" s="32"/>
      <c r="E619" s="31"/>
      <c r="F61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19" s="26"/>
      <c r="H619" s="33" t="str">
        <f>IF(Expenses[[#This Row],[Monthly Amount]]&lt;&gt;"",Expenses[[#This Row],[Monthly Amount]]/Income,"")</f>
        <v/>
      </c>
    </row>
    <row r="620" spans="2:8" ht="24" customHeight="1" x14ac:dyDescent="0.45">
      <c r="B620" s="31"/>
      <c r="C620" s="31"/>
      <c r="D620" s="32"/>
      <c r="E620" s="31"/>
      <c r="F62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0" s="26"/>
      <c r="H620" s="33" t="str">
        <f>IF(Expenses[[#This Row],[Monthly Amount]]&lt;&gt;"",Expenses[[#This Row],[Monthly Amount]]/Income,"")</f>
        <v/>
      </c>
    </row>
    <row r="621" spans="2:8" ht="24" customHeight="1" x14ac:dyDescent="0.45">
      <c r="B621" s="31"/>
      <c r="C621" s="31"/>
      <c r="D621" s="32"/>
      <c r="E621" s="31"/>
      <c r="F62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1" s="26"/>
      <c r="H621" s="33" t="str">
        <f>IF(Expenses[[#This Row],[Monthly Amount]]&lt;&gt;"",Expenses[[#This Row],[Monthly Amount]]/Income,"")</f>
        <v/>
      </c>
    </row>
    <row r="622" spans="2:8" ht="24" customHeight="1" x14ac:dyDescent="0.45">
      <c r="B622" s="31"/>
      <c r="C622" s="31"/>
      <c r="D622" s="32"/>
      <c r="E622" s="31"/>
      <c r="F62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2" s="26"/>
      <c r="H622" s="33" t="str">
        <f>IF(Expenses[[#This Row],[Monthly Amount]]&lt;&gt;"",Expenses[[#This Row],[Monthly Amount]]/Income,"")</f>
        <v/>
      </c>
    </row>
    <row r="623" spans="2:8" ht="24" customHeight="1" x14ac:dyDescent="0.45">
      <c r="B623" s="31"/>
      <c r="C623" s="31"/>
      <c r="D623" s="32"/>
      <c r="E623" s="31"/>
      <c r="F62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3" s="26"/>
      <c r="H623" s="33" t="str">
        <f>IF(Expenses[[#This Row],[Monthly Amount]]&lt;&gt;"",Expenses[[#This Row],[Monthly Amount]]/Income,"")</f>
        <v/>
      </c>
    </row>
    <row r="624" spans="2:8" ht="24" customHeight="1" x14ac:dyDescent="0.45">
      <c r="B624" s="31"/>
      <c r="C624" s="31"/>
      <c r="D624" s="32"/>
      <c r="E624" s="31"/>
      <c r="F62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4" s="26"/>
      <c r="H624" s="33" t="str">
        <f>IF(Expenses[[#This Row],[Monthly Amount]]&lt;&gt;"",Expenses[[#This Row],[Monthly Amount]]/Income,"")</f>
        <v/>
      </c>
    </row>
    <row r="625" spans="2:8" ht="24" customHeight="1" x14ac:dyDescent="0.45">
      <c r="B625" s="31"/>
      <c r="C625" s="31"/>
      <c r="D625" s="32"/>
      <c r="E625" s="31"/>
      <c r="F62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5" s="26"/>
      <c r="H625" s="33" t="str">
        <f>IF(Expenses[[#This Row],[Monthly Amount]]&lt;&gt;"",Expenses[[#This Row],[Monthly Amount]]/Income,"")</f>
        <v/>
      </c>
    </row>
    <row r="626" spans="2:8" ht="24" customHeight="1" x14ac:dyDescent="0.45">
      <c r="B626" s="31"/>
      <c r="C626" s="31"/>
      <c r="D626" s="32"/>
      <c r="E626" s="31"/>
      <c r="F62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6" s="26"/>
      <c r="H626" s="33" t="str">
        <f>IF(Expenses[[#This Row],[Monthly Amount]]&lt;&gt;"",Expenses[[#This Row],[Monthly Amount]]/Income,"")</f>
        <v/>
      </c>
    </row>
    <row r="627" spans="2:8" ht="24" customHeight="1" x14ac:dyDescent="0.45">
      <c r="B627" s="31"/>
      <c r="C627" s="31"/>
      <c r="D627" s="32"/>
      <c r="E627" s="31"/>
      <c r="F62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7" s="26"/>
      <c r="H627" s="33" t="str">
        <f>IF(Expenses[[#This Row],[Monthly Amount]]&lt;&gt;"",Expenses[[#This Row],[Monthly Amount]]/Income,"")</f>
        <v/>
      </c>
    </row>
    <row r="628" spans="2:8" ht="24" customHeight="1" x14ac:dyDescent="0.45">
      <c r="B628" s="31"/>
      <c r="C628" s="31"/>
      <c r="D628" s="32"/>
      <c r="E628" s="31"/>
      <c r="F62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8" s="26"/>
      <c r="H628" s="33" t="str">
        <f>IF(Expenses[[#This Row],[Monthly Amount]]&lt;&gt;"",Expenses[[#This Row],[Monthly Amount]]/Income,"")</f>
        <v/>
      </c>
    </row>
    <row r="629" spans="2:8" ht="24" customHeight="1" x14ac:dyDescent="0.45">
      <c r="B629" s="31"/>
      <c r="C629" s="31"/>
      <c r="D629" s="32"/>
      <c r="E629" s="31"/>
      <c r="F62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29" s="26"/>
      <c r="H629" s="33" t="str">
        <f>IF(Expenses[[#This Row],[Monthly Amount]]&lt;&gt;"",Expenses[[#This Row],[Monthly Amount]]/Income,"")</f>
        <v/>
      </c>
    </row>
    <row r="630" spans="2:8" ht="24" customHeight="1" x14ac:dyDescent="0.45">
      <c r="B630" s="31"/>
      <c r="C630" s="31"/>
      <c r="D630" s="32"/>
      <c r="E630" s="31"/>
      <c r="F63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0" s="26"/>
      <c r="H630" s="33" t="str">
        <f>IF(Expenses[[#This Row],[Monthly Amount]]&lt;&gt;"",Expenses[[#This Row],[Monthly Amount]]/Income,"")</f>
        <v/>
      </c>
    </row>
    <row r="631" spans="2:8" ht="24" customHeight="1" x14ac:dyDescent="0.45">
      <c r="B631" s="31"/>
      <c r="C631" s="31"/>
      <c r="D631" s="32"/>
      <c r="E631" s="31"/>
      <c r="F63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1" s="26"/>
      <c r="H631" s="33" t="str">
        <f>IF(Expenses[[#This Row],[Monthly Amount]]&lt;&gt;"",Expenses[[#This Row],[Monthly Amount]]/Income,"")</f>
        <v/>
      </c>
    </row>
    <row r="632" spans="2:8" ht="24" customHeight="1" x14ac:dyDescent="0.45">
      <c r="B632" s="31"/>
      <c r="C632" s="31"/>
      <c r="D632" s="32"/>
      <c r="E632" s="31"/>
      <c r="F63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2" s="26"/>
      <c r="H632" s="33" t="str">
        <f>IF(Expenses[[#This Row],[Monthly Amount]]&lt;&gt;"",Expenses[[#This Row],[Monthly Amount]]/Income,"")</f>
        <v/>
      </c>
    </row>
    <row r="633" spans="2:8" ht="24" customHeight="1" x14ac:dyDescent="0.45">
      <c r="B633" s="31"/>
      <c r="C633" s="31"/>
      <c r="D633" s="32"/>
      <c r="E633" s="31"/>
      <c r="F63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3" s="26"/>
      <c r="H633" s="33" t="str">
        <f>IF(Expenses[[#This Row],[Monthly Amount]]&lt;&gt;"",Expenses[[#This Row],[Monthly Amount]]/Income,"")</f>
        <v/>
      </c>
    </row>
    <row r="634" spans="2:8" ht="24" customHeight="1" x14ac:dyDescent="0.45">
      <c r="B634" s="31"/>
      <c r="C634" s="31"/>
      <c r="D634" s="32"/>
      <c r="E634" s="31"/>
      <c r="F63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4" s="26"/>
      <c r="H634" s="33" t="str">
        <f>IF(Expenses[[#This Row],[Monthly Amount]]&lt;&gt;"",Expenses[[#This Row],[Monthly Amount]]/Income,"")</f>
        <v/>
      </c>
    </row>
    <row r="635" spans="2:8" ht="24" customHeight="1" x14ac:dyDescent="0.45">
      <c r="B635" s="31"/>
      <c r="C635" s="31"/>
      <c r="D635" s="32"/>
      <c r="E635" s="31"/>
      <c r="F63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5" s="26"/>
      <c r="H635" s="33" t="str">
        <f>IF(Expenses[[#This Row],[Monthly Amount]]&lt;&gt;"",Expenses[[#This Row],[Monthly Amount]]/Income,"")</f>
        <v/>
      </c>
    </row>
    <row r="636" spans="2:8" ht="24" customHeight="1" x14ac:dyDescent="0.45">
      <c r="B636" s="31"/>
      <c r="C636" s="31"/>
      <c r="D636" s="32"/>
      <c r="E636" s="31"/>
      <c r="F63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6" s="26"/>
      <c r="H636" s="33" t="str">
        <f>IF(Expenses[[#This Row],[Monthly Amount]]&lt;&gt;"",Expenses[[#This Row],[Monthly Amount]]/Income,"")</f>
        <v/>
      </c>
    </row>
    <row r="637" spans="2:8" ht="24" customHeight="1" x14ac:dyDescent="0.45">
      <c r="B637" s="31"/>
      <c r="C637" s="31"/>
      <c r="D637" s="32"/>
      <c r="E637" s="31"/>
      <c r="F63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7" s="26"/>
      <c r="H637" s="33" t="str">
        <f>IF(Expenses[[#This Row],[Monthly Amount]]&lt;&gt;"",Expenses[[#This Row],[Monthly Amount]]/Income,"")</f>
        <v/>
      </c>
    </row>
    <row r="638" spans="2:8" ht="24" customHeight="1" x14ac:dyDescent="0.45">
      <c r="B638" s="31"/>
      <c r="C638" s="31"/>
      <c r="D638" s="32"/>
      <c r="E638" s="31"/>
      <c r="F63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8" s="26"/>
      <c r="H638" s="33" t="str">
        <f>IF(Expenses[[#This Row],[Monthly Amount]]&lt;&gt;"",Expenses[[#This Row],[Monthly Amount]]/Income,"")</f>
        <v/>
      </c>
    </row>
    <row r="639" spans="2:8" ht="24" customHeight="1" x14ac:dyDescent="0.45">
      <c r="B639" s="31"/>
      <c r="C639" s="31"/>
      <c r="D639" s="32"/>
      <c r="E639" s="31"/>
      <c r="F63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39" s="26"/>
      <c r="H639" s="33" t="str">
        <f>IF(Expenses[[#This Row],[Monthly Amount]]&lt;&gt;"",Expenses[[#This Row],[Monthly Amount]]/Income,"")</f>
        <v/>
      </c>
    </row>
    <row r="640" spans="2:8" ht="24" customHeight="1" x14ac:dyDescent="0.45">
      <c r="B640" s="31"/>
      <c r="C640" s="31"/>
      <c r="D640" s="32"/>
      <c r="E640" s="31"/>
      <c r="F64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0" s="26"/>
      <c r="H640" s="33" t="str">
        <f>IF(Expenses[[#This Row],[Monthly Amount]]&lt;&gt;"",Expenses[[#This Row],[Monthly Amount]]/Income,"")</f>
        <v/>
      </c>
    </row>
    <row r="641" spans="2:8" ht="24" customHeight="1" x14ac:dyDescent="0.45">
      <c r="B641" s="31"/>
      <c r="C641" s="31"/>
      <c r="D641" s="32"/>
      <c r="E641" s="31"/>
      <c r="F64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1" s="26"/>
      <c r="H641" s="33" t="str">
        <f>IF(Expenses[[#This Row],[Monthly Amount]]&lt;&gt;"",Expenses[[#This Row],[Monthly Amount]]/Income,"")</f>
        <v/>
      </c>
    </row>
    <row r="642" spans="2:8" ht="24" customHeight="1" x14ac:dyDescent="0.45">
      <c r="B642" s="31"/>
      <c r="C642" s="31"/>
      <c r="D642" s="32"/>
      <c r="E642" s="31"/>
      <c r="F64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2" s="26"/>
      <c r="H642" s="33" t="str">
        <f>IF(Expenses[[#This Row],[Monthly Amount]]&lt;&gt;"",Expenses[[#This Row],[Monthly Amount]]/Income,"")</f>
        <v/>
      </c>
    </row>
    <row r="643" spans="2:8" ht="24" customHeight="1" x14ac:dyDescent="0.45">
      <c r="B643" s="31"/>
      <c r="C643" s="31"/>
      <c r="D643" s="32"/>
      <c r="E643" s="31"/>
      <c r="F64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3" s="26"/>
      <c r="H643" s="33" t="str">
        <f>IF(Expenses[[#This Row],[Monthly Amount]]&lt;&gt;"",Expenses[[#This Row],[Monthly Amount]]/Income,"")</f>
        <v/>
      </c>
    </row>
    <row r="644" spans="2:8" ht="24" customHeight="1" x14ac:dyDescent="0.45">
      <c r="B644" s="31"/>
      <c r="C644" s="31"/>
      <c r="D644" s="32"/>
      <c r="E644" s="31"/>
      <c r="F64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4" s="26"/>
      <c r="H644" s="33" t="str">
        <f>IF(Expenses[[#This Row],[Monthly Amount]]&lt;&gt;"",Expenses[[#This Row],[Monthly Amount]]/Income,"")</f>
        <v/>
      </c>
    </row>
    <row r="645" spans="2:8" ht="24" customHeight="1" x14ac:dyDescent="0.45">
      <c r="B645" s="31"/>
      <c r="C645" s="31"/>
      <c r="D645" s="32"/>
      <c r="E645" s="31"/>
      <c r="F64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5" s="26"/>
      <c r="H645" s="33" t="str">
        <f>IF(Expenses[[#This Row],[Monthly Amount]]&lt;&gt;"",Expenses[[#This Row],[Monthly Amount]]/Income,"")</f>
        <v/>
      </c>
    </row>
    <row r="646" spans="2:8" ht="24" customHeight="1" x14ac:dyDescent="0.45">
      <c r="B646" s="31"/>
      <c r="C646" s="31"/>
      <c r="D646" s="32"/>
      <c r="E646" s="31"/>
      <c r="F64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6" s="26"/>
      <c r="H646" s="33" t="str">
        <f>IF(Expenses[[#This Row],[Monthly Amount]]&lt;&gt;"",Expenses[[#This Row],[Monthly Amount]]/Income,"")</f>
        <v/>
      </c>
    </row>
    <row r="647" spans="2:8" ht="24" customHeight="1" x14ac:dyDescent="0.45">
      <c r="B647" s="31"/>
      <c r="C647" s="31"/>
      <c r="D647" s="32"/>
      <c r="E647" s="31"/>
      <c r="F64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7" s="26"/>
      <c r="H647" s="33" t="str">
        <f>IF(Expenses[[#This Row],[Monthly Amount]]&lt;&gt;"",Expenses[[#This Row],[Monthly Amount]]/Income,"")</f>
        <v/>
      </c>
    </row>
    <row r="648" spans="2:8" ht="24" customHeight="1" x14ac:dyDescent="0.45">
      <c r="B648" s="31"/>
      <c r="C648" s="31"/>
      <c r="D648" s="32"/>
      <c r="E648" s="31"/>
      <c r="F64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8" s="26"/>
      <c r="H648" s="33" t="str">
        <f>IF(Expenses[[#This Row],[Monthly Amount]]&lt;&gt;"",Expenses[[#This Row],[Monthly Amount]]/Income,"")</f>
        <v/>
      </c>
    </row>
    <row r="649" spans="2:8" ht="24" customHeight="1" x14ac:dyDescent="0.45">
      <c r="B649" s="31"/>
      <c r="C649" s="31"/>
      <c r="D649" s="32"/>
      <c r="E649" s="31"/>
      <c r="F64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49" s="26"/>
      <c r="H649" s="33" t="str">
        <f>IF(Expenses[[#This Row],[Monthly Amount]]&lt;&gt;"",Expenses[[#This Row],[Monthly Amount]]/Income,"")</f>
        <v/>
      </c>
    </row>
    <row r="650" spans="2:8" ht="24" customHeight="1" x14ac:dyDescent="0.45">
      <c r="B650" s="31"/>
      <c r="C650" s="31"/>
      <c r="D650" s="32"/>
      <c r="E650" s="31"/>
      <c r="F65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0" s="26"/>
      <c r="H650" s="33" t="str">
        <f>IF(Expenses[[#This Row],[Monthly Amount]]&lt;&gt;"",Expenses[[#This Row],[Monthly Amount]]/Income,"")</f>
        <v/>
      </c>
    </row>
    <row r="651" spans="2:8" ht="24" customHeight="1" x14ac:dyDescent="0.45">
      <c r="B651" s="31"/>
      <c r="C651" s="31"/>
      <c r="D651" s="32"/>
      <c r="E651" s="31"/>
      <c r="F65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1" s="26"/>
      <c r="H651" s="33" t="str">
        <f>IF(Expenses[[#This Row],[Monthly Amount]]&lt;&gt;"",Expenses[[#This Row],[Monthly Amount]]/Income,"")</f>
        <v/>
      </c>
    </row>
    <row r="652" spans="2:8" ht="24" customHeight="1" x14ac:dyDescent="0.45">
      <c r="B652" s="31"/>
      <c r="C652" s="31"/>
      <c r="D652" s="32"/>
      <c r="E652" s="31"/>
      <c r="F65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2" s="26"/>
      <c r="H652" s="33" t="str">
        <f>IF(Expenses[[#This Row],[Monthly Amount]]&lt;&gt;"",Expenses[[#This Row],[Monthly Amount]]/Income,"")</f>
        <v/>
      </c>
    </row>
    <row r="653" spans="2:8" ht="24" customHeight="1" x14ac:dyDescent="0.45">
      <c r="B653" s="31"/>
      <c r="C653" s="31"/>
      <c r="D653" s="32"/>
      <c r="E653" s="31"/>
      <c r="F65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3" s="26"/>
      <c r="H653" s="33" t="str">
        <f>IF(Expenses[[#This Row],[Monthly Amount]]&lt;&gt;"",Expenses[[#This Row],[Monthly Amount]]/Income,"")</f>
        <v/>
      </c>
    </row>
    <row r="654" spans="2:8" ht="24" customHeight="1" x14ac:dyDescent="0.45">
      <c r="B654" s="31"/>
      <c r="C654" s="31"/>
      <c r="D654" s="32"/>
      <c r="E654" s="31"/>
      <c r="F65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4" s="26"/>
      <c r="H654" s="33" t="str">
        <f>IF(Expenses[[#This Row],[Monthly Amount]]&lt;&gt;"",Expenses[[#This Row],[Monthly Amount]]/Income,"")</f>
        <v/>
      </c>
    </row>
    <row r="655" spans="2:8" ht="24" customHeight="1" x14ac:dyDescent="0.45">
      <c r="B655" s="31"/>
      <c r="C655" s="31"/>
      <c r="D655" s="32"/>
      <c r="E655" s="31"/>
      <c r="F65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5" s="26"/>
      <c r="H655" s="33" t="str">
        <f>IF(Expenses[[#This Row],[Monthly Amount]]&lt;&gt;"",Expenses[[#This Row],[Monthly Amount]]/Income,"")</f>
        <v/>
      </c>
    </row>
    <row r="656" spans="2:8" ht="24" customHeight="1" x14ac:dyDescent="0.45">
      <c r="B656" s="31"/>
      <c r="C656" s="31"/>
      <c r="D656" s="32"/>
      <c r="E656" s="31"/>
      <c r="F65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6" s="26"/>
      <c r="H656" s="33" t="str">
        <f>IF(Expenses[[#This Row],[Monthly Amount]]&lt;&gt;"",Expenses[[#This Row],[Monthly Amount]]/Income,"")</f>
        <v/>
      </c>
    </row>
    <row r="657" spans="2:8" ht="24" customHeight="1" x14ac:dyDescent="0.45">
      <c r="B657" s="31"/>
      <c r="C657" s="31"/>
      <c r="D657" s="32"/>
      <c r="E657" s="31"/>
      <c r="F65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7" s="26"/>
      <c r="H657" s="33" t="str">
        <f>IF(Expenses[[#This Row],[Monthly Amount]]&lt;&gt;"",Expenses[[#This Row],[Monthly Amount]]/Income,"")</f>
        <v/>
      </c>
    </row>
    <row r="658" spans="2:8" ht="24" customHeight="1" x14ac:dyDescent="0.45">
      <c r="B658" s="31"/>
      <c r="C658" s="31"/>
      <c r="D658" s="32"/>
      <c r="E658" s="31"/>
      <c r="F65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8" s="26"/>
      <c r="H658" s="33" t="str">
        <f>IF(Expenses[[#This Row],[Monthly Amount]]&lt;&gt;"",Expenses[[#This Row],[Monthly Amount]]/Income,"")</f>
        <v/>
      </c>
    </row>
    <row r="659" spans="2:8" ht="24" customHeight="1" x14ac:dyDescent="0.45">
      <c r="B659" s="31"/>
      <c r="C659" s="31"/>
      <c r="D659" s="32"/>
      <c r="E659" s="31"/>
      <c r="F65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59" s="26"/>
      <c r="H659" s="33" t="str">
        <f>IF(Expenses[[#This Row],[Monthly Amount]]&lt;&gt;"",Expenses[[#This Row],[Monthly Amount]]/Income,"")</f>
        <v/>
      </c>
    </row>
    <row r="660" spans="2:8" ht="24" customHeight="1" x14ac:dyDescent="0.45">
      <c r="B660" s="31"/>
      <c r="C660" s="31"/>
      <c r="D660" s="32"/>
      <c r="E660" s="31"/>
      <c r="F66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0" s="26"/>
      <c r="H660" s="33" t="str">
        <f>IF(Expenses[[#This Row],[Monthly Amount]]&lt;&gt;"",Expenses[[#This Row],[Monthly Amount]]/Income,"")</f>
        <v/>
      </c>
    </row>
    <row r="661" spans="2:8" ht="24" customHeight="1" x14ac:dyDescent="0.45">
      <c r="B661" s="31"/>
      <c r="C661" s="31"/>
      <c r="D661" s="32"/>
      <c r="E661" s="31"/>
      <c r="F66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1" s="26"/>
      <c r="H661" s="33" t="str">
        <f>IF(Expenses[[#This Row],[Monthly Amount]]&lt;&gt;"",Expenses[[#This Row],[Monthly Amount]]/Income,"")</f>
        <v/>
      </c>
    </row>
    <row r="662" spans="2:8" ht="24" customHeight="1" x14ac:dyDescent="0.45">
      <c r="B662" s="31"/>
      <c r="C662" s="31"/>
      <c r="D662" s="32"/>
      <c r="E662" s="31"/>
      <c r="F66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2" s="26"/>
      <c r="H662" s="33" t="str">
        <f>IF(Expenses[[#This Row],[Monthly Amount]]&lt;&gt;"",Expenses[[#This Row],[Monthly Amount]]/Income,"")</f>
        <v/>
      </c>
    </row>
    <row r="663" spans="2:8" ht="24" customHeight="1" x14ac:dyDescent="0.45">
      <c r="B663" s="31"/>
      <c r="C663" s="31"/>
      <c r="D663" s="32"/>
      <c r="E663" s="31"/>
      <c r="F66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3" s="26"/>
      <c r="H663" s="33" t="str">
        <f>IF(Expenses[[#This Row],[Monthly Amount]]&lt;&gt;"",Expenses[[#This Row],[Monthly Amount]]/Income,"")</f>
        <v/>
      </c>
    </row>
    <row r="664" spans="2:8" ht="24" customHeight="1" x14ac:dyDescent="0.45">
      <c r="B664" s="31"/>
      <c r="C664" s="31"/>
      <c r="D664" s="32"/>
      <c r="E664" s="31"/>
      <c r="F66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4" s="26"/>
      <c r="H664" s="33" t="str">
        <f>IF(Expenses[[#This Row],[Monthly Amount]]&lt;&gt;"",Expenses[[#This Row],[Monthly Amount]]/Income,"")</f>
        <v/>
      </c>
    </row>
    <row r="665" spans="2:8" ht="24" customHeight="1" x14ac:dyDescent="0.45">
      <c r="B665" s="31"/>
      <c r="C665" s="31"/>
      <c r="D665" s="32"/>
      <c r="E665" s="31"/>
      <c r="F66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5" s="26"/>
      <c r="H665" s="33" t="str">
        <f>IF(Expenses[[#This Row],[Monthly Amount]]&lt;&gt;"",Expenses[[#This Row],[Monthly Amount]]/Income,"")</f>
        <v/>
      </c>
    </row>
    <row r="666" spans="2:8" ht="24" customHeight="1" x14ac:dyDescent="0.45">
      <c r="B666" s="31"/>
      <c r="C666" s="31"/>
      <c r="D666" s="32"/>
      <c r="E666" s="31"/>
      <c r="F66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6" s="26"/>
      <c r="H666" s="33" t="str">
        <f>IF(Expenses[[#This Row],[Monthly Amount]]&lt;&gt;"",Expenses[[#This Row],[Monthly Amount]]/Income,"")</f>
        <v/>
      </c>
    </row>
    <row r="667" spans="2:8" ht="24" customHeight="1" x14ac:dyDescent="0.45">
      <c r="B667" s="31"/>
      <c r="C667" s="31"/>
      <c r="D667" s="32"/>
      <c r="E667" s="31"/>
      <c r="F66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7" s="26"/>
      <c r="H667" s="33" t="str">
        <f>IF(Expenses[[#This Row],[Monthly Amount]]&lt;&gt;"",Expenses[[#This Row],[Monthly Amount]]/Income,"")</f>
        <v/>
      </c>
    </row>
    <row r="668" spans="2:8" ht="24" customHeight="1" x14ac:dyDescent="0.45">
      <c r="B668" s="31"/>
      <c r="C668" s="31"/>
      <c r="D668" s="32"/>
      <c r="E668" s="31"/>
      <c r="F66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8" s="26"/>
      <c r="H668" s="33" t="str">
        <f>IF(Expenses[[#This Row],[Monthly Amount]]&lt;&gt;"",Expenses[[#This Row],[Monthly Amount]]/Income,"")</f>
        <v/>
      </c>
    </row>
    <row r="669" spans="2:8" ht="24" customHeight="1" x14ac:dyDescent="0.45">
      <c r="B669" s="31"/>
      <c r="C669" s="31"/>
      <c r="D669" s="32"/>
      <c r="E669" s="31"/>
      <c r="F66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69" s="26"/>
      <c r="H669" s="33" t="str">
        <f>IF(Expenses[[#This Row],[Monthly Amount]]&lt;&gt;"",Expenses[[#This Row],[Monthly Amount]]/Income,"")</f>
        <v/>
      </c>
    </row>
    <row r="670" spans="2:8" ht="24" customHeight="1" x14ac:dyDescent="0.45">
      <c r="B670" s="31"/>
      <c r="C670" s="31"/>
      <c r="D670" s="32"/>
      <c r="E670" s="31"/>
      <c r="F67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0" s="26"/>
      <c r="H670" s="33" t="str">
        <f>IF(Expenses[[#This Row],[Monthly Amount]]&lt;&gt;"",Expenses[[#This Row],[Monthly Amount]]/Income,"")</f>
        <v/>
      </c>
    </row>
    <row r="671" spans="2:8" ht="24" customHeight="1" x14ac:dyDescent="0.45">
      <c r="B671" s="31"/>
      <c r="C671" s="31"/>
      <c r="D671" s="32"/>
      <c r="E671" s="31"/>
      <c r="F67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1" s="26"/>
      <c r="H671" s="33" t="str">
        <f>IF(Expenses[[#This Row],[Monthly Amount]]&lt;&gt;"",Expenses[[#This Row],[Monthly Amount]]/Income,"")</f>
        <v/>
      </c>
    </row>
    <row r="672" spans="2:8" ht="24" customHeight="1" x14ac:dyDescent="0.45">
      <c r="B672" s="31"/>
      <c r="C672" s="31"/>
      <c r="D672" s="32"/>
      <c r="E672" s="31"/>
      <c r="F67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2" s="26"/>
      <c r="H672" s="33" t="str">
        <f>IF(Expenses[[#This Row],[Monthly Amount]]&lt;&gt;"",Expenses[[#This Row],[Monthly Amount]]/Income,"")</f>
        <v/>
      </c>
    </row>
    <row r="673" spans="2:8" ht="24" customHeight="1" x14ac:dyDescent="0.45">
      <c r="B673" s="31"/>
      <c r="C673" s="31"/>
      <c r="D673" s="32"/>
      <c r="E673" s="31"/>
      <c r="F67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3" s="26"/>
      <c r="H673" s="33" t="str">
        <f>IF(Expenses[[#This Row],[Monthly Amount]]&lt;&gt;"",Expenses[[#This Row],[Monthly Amount]]/Income,"")</f>
        <v/>
      </c>
    </row>
    <row r="674" spans="2:8" ht="24" customHeight="1" x14ac:dyDescent="0.45">
      <c r="B674" s="31"/>
      <c r="C674" s="31"/>
      <c r="D674" s="32"/>
      <c r="E674" s="31"/>
      <c r="F67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4" s="26"/>
      <c r="H674" s="33" t="str">
        <f>IF(Expenses[[#This Row],[Monthly Amount]]&lt;&gt;"",Expenses[[#This Row],[Monthly Amount]]/Income,"")</f>
        <v/>
      </c>
    </row>
    <row r="675" spans="2:8" ht="24" customHeight="1" x14ac:dyDescent="0.45">
      <c r="B675" s="31"/>
      <c r="C675" s="31"/>
      <c r="D675" s="32"/>
      <c r="E675" s="31"/>
      <c r="F67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5" s="26"/>
      <c r="H675" s="33" t="str">
        <f>IF(Expenses[[#This Row],[Monthly Amount]]&lt;&gt;"",Expenses[[#This Row],[Monthly Amount]]/Income,"")</f>
        <v/>
      </c>
    </row>
    <row r="676" spans="2:8" ht="24" customHeight="1" x14ac:dyDescent="0.45">
      <c r="B676" s="31"/>
      <c r="C676" s="31"/>
      <c r="D676" s="32"/>
      <c r="E676" s="31"/>
      <c r="F67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6" s="26"/>
      <c r="H676" s="33" t="str">
        <f>IF(Expenses[[#This Row],[Monthly Amount]]&lt;&gt;"",Expenses[[#This Row],[Monthly Amount]]/Income,"")</f>
        <v/>
      </c>
    </row>
    <row r="677" spans="2:8" ht="24" customHeight="1" x14ac:dyDescent="0.45">
      <c r="B677" s="31"/>
      <c r="C677" s="31"/>
      <c r="D677" s="32"/>
      <c r="E677" s="31"/>
      <c r="F67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7" s="26"/>
      <c r="H677" s="33" t="str">
        <f>IF(Expenses[[#This Row],[Monthly Amount]]&lt;&gt;"",Expenses[[#This Row],[Monthly Amount]]/Income,"")</f>
        <v/>
      </c>
    </row>
    <row r="678" spans="2:8" ht="24" customHeight="1" x14ac:dyDescent="0.45">
      <c r="B678" s="31"/>
      <c r="C678" s="31"/>
      <c r="D678" s="32"/>
      <c r="E678" s="31"/>
      <c r="F67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8" s="26"/>
      <c r="H678" s="33" t="str">
        <f>IF(Expenses[[#This Row],[Monthly Amount]]&lt;&gt;"",Expenses[[#This Row],[Monthly Amount]]/Income,"")</f>
        <v/>
      </c>
    </row>
    <row r="679" spans="2:8" ht="24" customHeight="1" x14ac:dyDescent="0.45">
      <c r="B679" s="31"/>
      <c r="C679" s="31"/>
      <c r="D679" s="32"/>
      <c r="E679" s="31"/>
      <c r="F67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79" s="26"/>
      <c r="H679" s="33" t="str">
        <f>IF(Expenses[[#This Row],[Monthly Amount]]&lt;&gt;"",Expenses[[#This Row],[Monthly Amount]]/Income,"")</f>
        <v/>
      </c>
    </row>
    <row r="680" spans="2:8" ht="24" customHeight="1" x14ac:dyDescent="0.45">
      <c r="B680" s="31"/>
      <c r="C680" s="31"/>
      <c r="D680" s="32"/>
      <c r="E680" s="31"/>
      <c r="F68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0" s="26"/>
      <c r="H680" s="33" t="str">
        <f>IF(Expenses[[#This Row],[Monthly Amount]]&lt;&gt;"",Expenses[[#This Row],[Monthly Amount]]/Income,"")</f>
        <v/>
      </c>
    </row>
    <row r="681" spans="2:8" ht="24" customHeight="1" x14ac:dyDescent="0.45">
      <c r="B681" s="31"/>
      <c r="C681" s="31"/>
      <c r="D681" s="32"/>
      <c r="E681" s="31"/>
      <c r="F68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1" s="26"/>
      <c r="H681" s="33" t="str">
        <f>IF(Expenses[[#This Row],[Monthly Amount]]&lt;&gt;"",Expenses[[#This Row],[Monthly Amount]]/Income,"")</f>
        <v/>
      </c>
    </row>
    <row r="682" spans="2:8" ht="24" customHeight="1" x14ac:dyDescent="0.45">
      <c r="B682" s="31"/>
      <c r="C682" s="31"/>
      <c r="D682" s="32"/>
      <c r="E682" s="31"/>
      <c r="F68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2" s="26"/>
      <c r="H682" s="33" t="str">
        <f>IF(Expenses[[#This Row],[Monthly Amount]]&lt;&gt;"",Expenses[[#This Row],[Monthly Amount]]/Income,"")</f>
        <v/>
      </c>
    </row>
    <row r="683" spans="2:8" ht="24" customHeight="1" x14ac:dyDescent="0.45">
      <c r="B683" s="31"/>
      <c r="C683" s="31"/>
      <c r="D683" s="32"/>
      <c r="E683" s="31"/>
      <c r="F68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3" s="26"/>
      <c r="H683" s="33" t="str">
        <f>IF(Expenses[[#This Row],[Monthly Amount]]&lt;&gt;"",Expenses[[#This Row],[Monthly Amount]]/Income,"")</f>
        <v/>
      </c>
    </row>
    <row r="684" spans="2:8" ht="24" customHeight="1" x14ac:dyDescent="0.45">
      <c r="B684" s="31"/>
      <c r="C684" s="31"/>
      <c r="D684" s="32"/>
      <c r="E684" s="31"/>
      <c r="F684"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4" s="26"/>
      <c r="H684" s="33" t="str">
        <f>IF(Expenses[[#This Row],[Monthly Amount]]&lt;&gt;"",Expenses[[#This Row],[Monthly Amount]]/Income,"")</f>
        <v/>
      </c>
    </row>
    <row r="685" spans="2:8" ht="24" customHeight="1" x14ac:dyDescent="0.45">
      <c r="B685" s="31"/>
      <c r="C685" s="31"/>
      <c r="D685" s="32"/>
      <c r="E685" s="31"/>
      <c r="F685"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5" s="26"/>
      <c r="H685" s="33" t="str">
        <f>IF(Expenses[[#This Row],[Monthly Amount]]&lt;&gt;"",Expenses[[#This Row],[Monthly Amount]]/Income,"")</f>
        <v/>
      </c>
    </row>
    <row r="686" spans="2:8" ht="24" customHeight="1" x14ac:dyDescent="0.45">
      <c r="B686" s="31"/>
      <c r="C686" s="31"/>
      <c r="D686" s="32"/>
      <c r="E686" s="31"/>
      <c r="F686"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6" s="26"/>
      <c r="H686" s="33" t="str">
        <f>IF(Expenses[[#This Row],[Monthly Amount]]&lt;&gt;"",Expenses[[#This Row],[Monthly Amount]]/Income,"")</f>
        <v/>
      </c>
    </row>
    <row r="687" spans="2:8" ht="24" customHeight="1" x14ac:dyDescent="0.45">
      <c r="B687" s="31"/>
      <c r="C687" s="31"/>
      <c r="D687" s="32"/>
      <c r="E687" s="31"/>
      <c r="F687"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7" s="26"/>
      <c r="H687" s="33" t="str">
        <f>IF(Expenses[[#This Row],[Monthly Amount]]&lt;&gt;"",Expenses[[#This Row],[Monthly Amount]]/Income,"")</f>
        <v/>
      </c>
    </row>
    <row r="688" spans="2:8" ht="24" customHeight="1" x14ac:dyDescent="0.45">
      <c r="B688" s="31"/>
      <c r="C688" s="31"/>
      <c r="D688" s="32"/>
      <c r="E688" s="31"/>
      <c r="F688"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8" s="26"/>
      <c r="H688" s="33" t="str">
        <f>IF(Expenses[[#This Row],[Monthly Amount]]&lt;&gt;"",Expenses[[#This Row],[Monthly Amount]]/Income,"")</f>
        <v/>
      </c>
    </row>
    <row r="689" spans="2:8" ht="24" customHeight="1" x14ac:dyDescent="0.45">
      <c r="B689" s="31"/>
      <c r="C689" s="31"/>
      <c r="D689" s="32"/>
      <c r="E689" s="31"/>
      <c r="F689"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89" s="26"/>
      <c r="H689" s="33" t="str">
        <f>IF(Expenses[[#This Row],[Monthly Amount]]&lt;&gt;"",Expenses[[#This Row],[Monthly Amount]]/Income,"")</f>
        <v/>
      </c>
    </row>
    <row r="690" spans="2:8" ht="24" customHeight="1" x14ac:dyDescent="0.45">
      <c r="B690" s="31"/>
      <c r="C690" s="31"/>
      <c r="D690" s="32"/>
      <c r="E690" s="31"/>
      <c r="F690"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90" s="26"/>
      <c r="H690" s="33" t="str">
        <f>IF(Expenses[[#This Row],[Monthly Amount]]&lt;&gt;"",Expenses[[#This Row],[Monthly Amount]]/Income,"")</f>
        <v/>
      </c>
    </row>
    <row r="691" spans="2:8" ht="24" customHeight="1" x14ac:dyDescent="0.45">
      <c r="B691" s="31"/>
      <c r="C691" s="31"/>
      <c r="D691" s="32"/>
      <c r="E691" s="31"/>
      <c r="F691"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91" s="26"/>
      <c r="H691" s="33" t="str">
        <f>IF(Expenses[[#This Row],[Monthly Amount]]&lt;&gt;"",Expenses[[#This Row],[Monthly Amount]]/Income,"")</f>
        <v/>
      </c>
    </row>
    <row r="692" spans="2:8" ht="24" customHeight="1" x14ac:dyDescent="0.45">
      <c r="B692" s="31"/>
      <c r="C692" s="31"/>
      <c r="D692" s="32"/>
      <c r="E692" s="31"/>
      <c r="F692"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92" s="26"/>
      <c r="H692" s="33" t="str">
        <f>IF(Expenses[[#This Row],[Monthly Amount]]&lt;&gt;"",Expenses[[#This Row],[Monthly Amount]]/Income,"")</f>
        <v/>
      </c>
    </row>
    <row r="693" spans="2:8" ht="24" customHeight="1" x14ac:dyDescent="0.45">
      <c r="B693" s="31"/>
      <c r="C693" s="31"/>
      <c r="D693" s="32"/>
      <c r="E693" s="31"/>
      <c r="F693" s="32" t="str">
        <f>IF(Expenses[[#This Row],[Amount]]&gt;0,IF(Expenses[[#This Row],[Frequency]]&lt;&gt;"",ROUND(IF(Expenses[[#This Row],[Frequency]]="Monthly",Expenses[Amount],IF(Expenses[[#This Row],[Frequency]]="Weekly",Expenses[[#This Row],[Amount]]*4,IF(Expenses[[#This Row],[Frequency]]="Quarterly",Expenses[[#This Row],[Amount]]/3,IF(Expenses[[#This Row],[Frequency]]="Every 6 months",Expenses[[#This Row],[Amount]]/6,IF(Expenses[[#This Row],[Frequency]]="Yearly",Expenses[[#This Row],[Amount]]/12,IF(Expenses[[#This Row],[Frequency]]="Every other week",Expenses[[#This Row],[Amount]]*2,IF(Expenses[[#This Row],[Frequency]]="Every other month",Expenses[[#This Row],[Amount]]/2,""))))))),0),""),"")</f>
        <v/>
      </c>
      <c r="G693" s="26"/>
      <c r="H693" s="33" t="str">
        <f>IF(Expenses[[#This Row],[Monthly Amount]]&lt;&gt;"",Expenses[[#This Row],[Monthly Amount]]/Income,"")</f>
        <v/>
      </c>
    </row>
  </sheetData>
  <mergeCells count="2">
    <mergeCell ref="B1:C1"/>
    <mergeCell ref="D1:G1"/>
  </mergeCells>
  <conditionalFormatting sqref="G3:G4">
    <cfRule type="expression" dxfId="1" priority="2">
      <formula>G3&lt;=0</formula>
    </cfRule>
    <cfRule type="expression" dxfId="0" priority="3">
      <formula>G3&gt;0</formula>
    </cfRule>
  </conditionalFormatting>
  <dataValidations count="5">
    <dataValidation allowBlank="1" showInputMessage="1" showErrorMessage="1" prompt="Create a Budget Wheel in this worksheet. Title of the worksheet is in cell at right. Other helpful instructions on how to use this worksheet are in cells in this column. Arrow down to get started." sqref="A1" xr:uid="{9F01452D-FD56-4387-BFD5-A5D668D81461}"/>
    <dataValidation allowBlank="1" showInputMessage="1" showErrorMessage="1" prompt="Monthly Income label is in cell at right, doughnut chart showing expenses and savings in cell C2, and Savings Amount label in cell G2." sqref="A2" xr:uid="{5E67A332-E767-41E5-98BF-69F2088ECB1C}"/>
    <dataValidation allowBlank="1" showInputMessage="1" showErrorMessage="1" prompt="Doughnut chart showing expenses and savings proportion is in this cell." sqref="C2" xr:uid="{6A20510C-E456-4C61-885F-4ACDBF1C2749}"/>
    <dataValidation allowBlank="1" showInputMessage="1" showErrorMessage="1" prompt="Enter Monthly Income in cell at right. Saving Amount is auto calculated in cell G3. Next instruction is in cell A8." sqref="A3" xr:uid="{DB3F9EA6-C8BD-414D-A416-6F71C0203F89}"/>
    <dataValidation allowBlank="1" showInputMessage="1" showErrorMessage="1" prompt="Enter details in Expenses table starting in cell at right." sqref="A8" xr:uid="{CB3857F1-CB65-4CD3-94F5-16BB2D675D6B}"/>
  </dataValidations>
  <printOptions horizontalCentered="1"/>
  <pageMargins left="0.7" right="0.7" top="0.7" bottom="0.7" header="0.3" footer="0.3"/>
  <pageSetup scale="86" fitToHeight="0" orientation="portrait" horizontalDpi="4294967293" r:id="rId1"/>
  <headerFooter differentFirst="1">
    <oddFooter>Page &amp;P of &amp;N</oddFooter>
  </headerFooter>
  <drawing r:id="rId2"/>
  <tableParts count="1">
    <tablePart r:id="rId3"/>
  </tableParts>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Please select a category from the drop-down list" xr:uid="{00000000-0002-0000-0000-000000000000}">
          <x14:formula1>
            <xm:f>Data!$A$3:$A$8</xm:f>
          </x14:formula1>
          <xm:sqref>C9:C693</xm:sqref>
        </x14:dataValidation>
        <x14:dataValidation type="list" errorStyle="warning" allowBlank="1" showErrorMessage="1" error="Please select a frequency from the drop-down list" xr:uid="{00000000-0002-0000-0000-000001000000}">
          <x14:formula1>
            <xm:f>Data!$D$3:$D$9</xm:f>
          </x14:formula1>
          <xm:sqref>E9:E693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E10"/>
  <sheetViews>
    <sheetView showGridLines="0" workbookViewId="0"/>
  </sheetViews>
  <sheetFormatPr defaultColWidth="8.84375" defaultRowHeight="17.5" x14ac:dyDescent="0.45"/>
  <cols>
    <col min="1" max="1" width="17.84375" customWidth="1"/>
    <col min="2" max="2" width="21" customWidth="1"/>
    <col min="3" max="3" width="20.4609375" customWidth="1"/>
    <col min="4" max="4" width="20" customWidth="1"/>
    <col min="5" max="5" width="11.4609375" customWidth="1"/>
  </cols>
  <sheetData>
    <row r="1" spans="1:5" x14ac:dyDescent="0.45">
      <c r="A1" t="s">
        <v>24</v>
      </c>
    </row>
    <row r="2" spans="1:5" ht="44.25" customHeight="1" x14ac:dyDescent="0.45">
      <c r="A2" s="1" t="s">
        <v>6</v>
      </c>
      <c r="B2" s="1" t="s">
        <v>7</v>
      </c>
      <c r="C2" s="1" t="s">
        <v>8</v>
      </c>
      <c r="D2" s="1" t="s">
        <v>3</v>
      </c>
      <c r="E2" s="1" t="s">
        <v>9</v>
      </c>
    </row>
    <row r="3" spans="1:5" x14ac:dyDescent="0.45">
      <c r="A3" t="s">
        <v>10</v>
      </c>
      <c r="B3" s="2" t="e">
        <f>IF(SUMIF(Expenses[Category],"Home",Expenses[Monthly Amount])&gt;0,SUMIF(Expenses[Category],"Home",Expenses[Monthly Amount]),NA())</f>
        <v>#N/A</v>
      </c>
      <c r="C3" s="3" t="e">
        <f t="shared" ref="C3:C8" si="0">IF(B3&gt;0,B3/Income,"")</f>
        <v>#N/A</v>
      </c>
      <c r="D3" s="4" t="s">
        <v>11</v>
      </c>
      <c r="E3" s="2">
        <f>Income-SUM(Expenses[Monthly Amount])</f>
        <v>5728</v>
      </c>
    </row>
    <row r="4" spans="1:5" x14ac:dyDescent="0.45">
      <c r="A4" t="s">
        <v>12</v>
      </c>
      <c r="B4" s="2" t="e">
        <f>IF(SUMIF(Expenses[Category],"Entertainment",Expenses[Monthly Amount])&gt;0,SUMIF(Expenses[Category],"Entertainment",Expenses[Monthly Amount]),NA())</f>
        <v>#N/A</v>
      </c>
      <c r="C4" s="3" t="e">
        <f t="shared" si="0"/>
        <v>#N/A</v>
      </c>
      <c r="D4" s="4" t="s">
        <v>13</v>
      </c>
    </row>
    <row r="5" spans="1:5" x14ac:dyDescent="0.45">
      <c r="A5" t="s">
        <v>14</v>
      </c>
      <c r="B5" s="2">
        <f>IF(SUMIF(Expenses[Category],"Transportation",Expenses[Monthly Amount])&gt;0,SUMIF(Expenses[Category],"Transportation",Expenses[Monthly Amount]),NA())</f>
        <v>10</v>
      </c>
      <c r="C5" s="3">
        <f t="shared" si="0"/>
        <v>1.7427675148135239E-3</v>
      </c>
      <c r="D5" s="4" t="s">
        <v>15</v>
      </c>
    </row>
    <row r="6" spans="1:5" x14ac:dyDescent="0.45">
      <c r="A6" t="s">
        <v>16</v>
      </c>
      <c r="B6" s="2" t="e">
        <f>IF(SUMIF(Expenses[Category],"Food",Expenses[Monthly Amount])&gt;0,SUMIF(Expenses[Category],"Food",Expenses[Monthly Amount]),NA())</f>
        <v>#N/A</v>
      </c>
      <c r="C6" s="3" t="e">
        <f t="shared" si="0"/>
        <v>#N/A</v>
      </c>
      <c r="D6" s="4" t="s">
        <v>17</v>
      </c>
    </row>
    <row r="7" spans="1:5" x14ac:dyDescent="0.45">
      <c r="A7" t="s">
        <v>18</v>
      </c>
      <c r="B7" s="2" t="e">
        <f>IF(SUMIF(Expenses[Category],"Misc.",Expenses[Monthly Amount])&gt;0,SUMIF(Expenses[Category],"Misc.",Expenses[Monthly Amount]),NA())</f>
        <v>#N/A</v>
      </c>
      <c r="C7" s="3" t="e">
        <f t="shared" si="0"/>
        <v>#N/A</v>
      </c>
      <c r="D7" s="4" t="s">
        <v>19</v>
      </c>
    </row>
    <row r="8" spans="1:5" x14ac:dyDescent="0.45">
      <c r="A8" t="s">
        <v>9</v>
      </c>
      <c r="B8" s="2">
        <f>IF(E3&gt;0,E3,NA())</f>
        <v>5728</v>
      </c>
      <c r="C8" s="3">
        <f t="shared" si="0"/>
        <v>0.9982572324851865</v>
      </c>
      <c r="D8" s="4" t="s">
        <v>20</v>
      </c>
    </row>
    <row r="9" spans="1:5" x14ac:dyDescent="0.45">
      <c r="C9" s="6"/>
      <c r="D9" s="4" t="s">
        <v>21</v>
      </c>
    </row>
    <row r="10" spans="1:5" x14ac:dyDescent="0.45">
      <c r="B10" s="7" t="s">
        <v>23</v>
      </c>
      <c r="C10" s="8" t="e">
        <f>SUM(C3:C8)</f>
        <v>#N/A</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7C46E90-2D8F-4B46-9B3F-36566208561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EA506F0-43ED-4613-8CBA-B2CE28E4ED24}">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2DF7FBA8-351B-4C97-B190-53E296316B72}">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TM16400946</Template>
  <Application>Microsoft Excel</Application>
  <DocSecurity>0</DocSecurity>
  <ScaleCrop>false</ScaleCrop>
  <HeadingPairs>
    <vt:vector size="4" baseType="variant">
      <vt:variant>
        <vt:lpstr>Worksheets</vt:lpstr>
      </vt:variant>
      <vt:variant>
        <vt:i4>2</vt:i4>
      </vt:variant>
      <vt:variant>
        <vt:lpstr>Named Ranges</vt:lpstr>
      </vt:variant>
      <vt:variant>
        <vt:i4>5</vt:i4>
      </vt:variant>
    </vt:vector>
  </HeadingPairs>
  <TitlesOfParts>
    <vt:vector size="7" baseType="lpstr">
      <vt:lpstr>Budget wheel</vt:lpstr>
      <vt:lpstr>Data</vt:lpstr>
      <vt:lpstr>AmountPerCategory</vt:lpstr>
      <vt:lpstr>Categories</vt:lpstr>
      <vt:lpstr>Income</vt:lpstr>
      <vt:lpstr>'Budget wheel'!Print_Titles</vt:lpstr>
      <vt:lpstr>Savings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2023-01-16T02:56:25Z</dcterms:created>
  <dcterms:modified xsi:type="dcterms:W3CDTF">2025-05-03T19:25:04Z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